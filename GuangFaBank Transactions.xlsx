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600" firstSheet="0" activeTab="1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91028" fullCalcOnLoad="1"/>
</workbook>
</file>

<file path=xl/styles.xml><?xml version="1.0" encoding="utf-8"?>
<styleSheet xmlns="http://schemas.openxmlformats.org/spreadsheetml/2006/main">
  <numFmts count="2">
    <numFmt numFmtId="164" formatCode="m/d/yyyy\ h:mm"/>
    <numFmt numFmtId="165" formatCode="m/d/yyyy"/>
  </numFmts>
  <fonts count="16">
    <font>
      <name val="Calibri"/>
      <family val="2"/>
      <color theme="1"/>
      <sz val="11"/>
      <scheme val="minor"/>
    </font>
    <font>
      <name val="Roboto"/>
      <color rgb="FFFFFFFF"/>
      <sz val="10"/>
    </font>
    <font>
      <name val="Roboto"/>
      <color rgb="FF434343"/>
      <sz val="10"/>
    </font>
    <font>
      <name val="Roboto"/>
      <color rgb="FF2C481F"/>
      <sz val="10"/>
    </font>
    <font>
      <name val="Arial"/>
      <family val="2"/>
      <color theme="1"/>
      <sz val="10"/>
    </font>
    <font>
      <name val="Arial"/>
      <family val="2"/>
      <color rgb="FF434343"/>
      <sz val="10"/>
    </font>
    <font>
      <name val="Roboto"/>
      <color rgb="FF2A3243"/>
      <sz val="10"/>
    </font>
    <font>
      <name val="Roboto"/>
      <color rgb="FF434343"/>
      <sz val="10"/>
    </font>
    <font>
      <name val="Calibri"/>
      <family val="2"/>
      <color theme="1"/>
      <sz val="11"/>
      <scheme val="minor"/>
    </font>
    <font>
      <name val="Arial"/>
      <family val="2"/>
      <color rgb="FF434343"/>
      <sz val="10"/>
    </font>
    <font>
      <name val="Roboto"/>
      <b val="1"/>
      <color rgb="FFFFFFFF"/>
      <sz val="10"/>
    </font>
    <font>
      <name val="Arial"/>
      <family val="2"/>
      <color theme="1"/>
      <sz val="10"/>
    </font>
    <font>
      <name val="Arial"/>
      <family val="2"/>
      <color rgb="FF434343"/>
      <sz val="10"/>
    </font>
    <font>
      <name val="Arial"/>
      <family val="2"/>
      <color rgb="FF434343"/>
      <sz val="10"/>
    </font>
    <font>
      <name val="Arial"/>
      <family val="2"/>
      <color rgb="FF434343"/>
      <sz val="10"/>
    </font>
    <font>
      <name val="Arial"/>
      <family val="2"/>
      <color rgb="FF434343"/>
      <sz val="10"/>
    </font>
  </fonts>
  <fills count="3">
    <fill>
      <patternFill/>
    </fill>
    <fill>
      <patternFill patternType="gray125"/>
    </fill>
    <fill>
      <patternFill patternType="solid">
        <fgColor rgb="FF356854"/>
        <bgColor indexed="64"/>
      </patternFill>
    </fill>
  </fills>
  <borders count="4">
    <border>
      <left/>
      <right/>
      <top/>
      <bottom/>
      <diagonal/>
    </border>
    <border>
      <left/>
      <right style="thin">
        <color rgb="FF356854"/>
      </right>
      <top/>
      <bottom style="thin">
        <color rgb="FF284E3F"/>
      </bottom>
      <diagonal/>
    </border>
    <border>
      <left style="thin">
        <color rgb="FFCCCCCC"/>
      </left>
      <right style="thin">
        <color rgb="FF356854"/>
      </right>
      <top/>
      <bottom style="thin">
        <color rgb="FF284E3F"/>
      </bottom>
      <diagonal/>
    </border>
    <border>
      <left style="thin">
        <color rgb="FFCCCCCC"/>
      </left>
      <right/>
      <top/>
      <bottom style="thin">
        <color rgb="FF284E3F"/>
      </bottom>
      <diagonal/>
    </border>
  </borders>
  <cellStyleXfs count="2">
    <xf numFmtId="0" fontId="8" fillId="0" borderId="0"/>
    <xf numFmtId="43" fontId="8" fillId="0" borderId="0"/>
  </cellStyleXfs>
  <cellXfs count="33">
    <xf numFmtId="0" fontId="0" fillId="0" borderId="0" pivotButton="0" quotePrefix="0" xfId="0"/>
    <xf numFmtId="14" fontId="0" fillId="0" borderId="0" pivotButton="0" quotePrefix="0" xfId="0"/>
    <xf numFmtId="22" fontId="0" fillId="0" borderId="0" pivotButton="0" quotePrefix="0" xfId="0"/>
    <xf numFmtId="49" fontId="0" fillId="0" borderId="0" pivotButton="0" quotePrefix="0" xfId="0"/>
    <xf numFmtId="49" fontId="0" fillId="0" borderId="0" pivotButton="0" quotePrefix="1" xfId="0"/>
    <xf numFmtId="0" fontId="1" fillId="2" borderId="1" applyAlignment="1" pivotButton="0" quotePrefix="0" xfId="0">
      <alignment readingOrder="1"/>
    </xf>
    <xf numFmtId="0" fontId="1" fillId="2" borderId="2" applyAlignment="1" pivotButton="0" quotePrefix="0" xfId="0">
      <alignment readingOrder="1"/>
    </xf>
    <xf numFmtId="0" fontId="1" fillId="2" borderId="3" applyAlignment="1" pivotButton="0" quotePrefix="0" xfId="0">
      <alignment readingOrder="1"/>
    </xf>
    <xf numFmtId="14" fontId="2" fillId="0" borderId="0" applyAlignment="1" pivotButton="0" quotePrefix="0" xfId="0">
      <alignment readingOrder="1"/>
    </xf>
    <xf numFmtId="0" fontId="3" fillId="0" borderId="0" applyAlignment="1" pivotButton="0" quotePrefix="0" xfId="0">
      <alignment readingOrder="1"/>
    </xf>
    <xf numFmtId="4" fontId="5" fillId="0" borderId="0" applyAlignment="1" pivotButton="0" quotePrefix="0" xfId="0">
      <alignment readingOrder="1"/>
    </xf>
    <xf numFmtId="0" fontId="6" fillId="0" borderId="0" applyAlignment="1" pivotButton="0" quotePrefix="0" xfId="0">
      <alignment readingOrder="1"/>
    </xf>
    <xf numFmtId="49" fontId="1" fillId="2" borderId="2" applyAlignment="1" pivotButton="0" quotePrefix="0" xfId="0">
      <alignment readingOrder="1"/>
    </xf>
    <xf numFmtId="49" fontId="4" fillId="0" borderId="0" applyAlignment="1" pivotButton="0" quotePrefix="0" xfId="0">
      <alignment readingOrder="1"/>
    </xf>
    <xf numFmtId="49" fontId="2" fillId="0" borderId="0" applyAlignment="1" pivotButton="0" quotePrefix="0" xfId="0">
      <alignment readingOrder="1"/>
    </xf>
    <xf numFmtId="14" fontId="7" fillId="0" borderId="0" applyAlignment="1" pivotButton="0" quotePrefix="0" xfId="0">
      <alignment readingOrder="1"/>
    </xf>
    <xf numFmtId="43" fontId="2" fillId="0" borderId="0" applyAlignment="1" pivotButton="0" quotePrefix="0" xfId="1">
      <alignment readingOrder="1"/>
    </xf>
    <xf numFmtId="43" fontId="2" fillId="0" borderId="0" applyAlignment="1" pivotButton="0" quotePrefix="0" xfId="1">
      <alignment readingOrder="1"/>
    </xf>
    <xf numFmtId="43" fontId="0" fillId="0" borderId="0" pivotButton="0" quotePrefix="0" xfId="1"/>
    <xf numFmtId="4" fontId="9" fillId="0" borderId="0" applyAlignment="1" pivotButton="0" quotePrefix="0" xfId="0">
      <alignment readingOrder="1"/>
    </xf>
    <xf numFmtId="164" fontId="0" fillId="0" borderId="0" pivotButton="0" quotePrefix="0" xfId="0"/>
    <xf numFmtId="165" fontId="0" fillId="0" borderId="0" pivotButton="0" quotePrefix="0" xfId="0"/>
    <xf numFmtId="0" fontId="10" fillId="0" borderId="0" applyAlignment="1" pivotButton="0" quotePrefix="0" xfId="0">
      <alignment readingOrder="1"/>
    </xf>
    <xf numFmtId="49" fontId="10" fillId="0" borderId="0" applyAlignment="1" pivotButton="0" quotePrefix="0" xfId="0">
      <alignment readingOrder="1"/>
    </xf>
    <xf numFmtId="43" fontId="2" fillId="0" borderId="0" applyAlignment="1" pivotButton="0" quotePrefix="0" xfId="1">
      <alignment readingOrder="1"/>
    </xf>
    <xf numFmtId="49" fontId="11" fillId="0" borderId="0" applyAlignment="1" pivotButton="0" quotePrefix="0" xfId="0">
      <alignment readingOrder="1"/>
    </xf>
    <xf numFmtId="4" fontId="12" fillId="0" borderId="0" applyAlignment="1" pivotButton="0" quotePrefix="0" xfId="0">
      <alignment readingOrder="1"/>
    </xf>
    <xf numFmtId="4" fontId="0" fillId="0" borderId="0" pivotButton="0" quotePrefix="0" xfId="0"/>
    <xf numFmtId="4" fontId="13" fillId="0" borderId="0" applyAlignment="1" pivotButton="0" quotePrefix="0" xfId="0">
      <alignment readingOrder="1"/>
    </xf>
    <xf numFmtId="4" fontId="14" fillId="0" borderId="0" applyAlignment="1" pivotButton="0" quotePrefix="0" xfId="0">
      <alignment readingOrder="1"/>
    </xf>
    <xf numFmtId="4" fontId="15" fillId="0" borderId="0" applyAlignment="1" pivotButton="0" quotePrefix="0" xfId="0">
      <alignment readingOrder="1"/>
    </xf>
    <xf numFmtId="164" fontId="0" fillId="0" borderId="0" pivotButton="0" quotePrefix="0" xfId="0"/>
    <xf numFmtId="165" fontId="0" fillId="0" borderId="0" pivotButton="0" quotePrefix="0" xfId="0"/>
  </cellXfs>
  <cellStyles count="2">
    <cellStyle name="Normal" xfId="0" builtinId="0"/>
    <cellStyle name="Comma" xfId="1" builtinId="3"/>
  </cellStyles>
  <dxfs count="30">
    <dxf>
      <fill>
        <patternFill>
          <bgColor auto="1"/>
        </patternFill>
      </fill>
    </dxf>
    <dxf>
      <numFmt numFmtId="4" formatCode="#,##0.00"/>
      <fill>
        <patternFill>
          <bgColor auto="1"/>
        </patternFill>
      </fill>
    </dxf>
    <dxf>
      <numFmt numFmtId="4" formatCode="#,##0.00"/>
      <fill>
        <patternFill>
          <bgColor auto="1"/>
        </patternFill>
      </fill>
    </dxf>
    <dxf>
      <numFmt numFmtId="30" formatCode="@"/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ont>
        <name val="Roboto"/>
        <charset val="1"/>
        <b val="1"/>
        <strike val="0"/>
        <outline val="0"/>
        <shadow val="0"/>
        <condense val="0"/>
        <color rgb="FFFFFFFF"/>
        <extend val="0"/>
        <sz val="10"/>
        <vertAlign val="baseline"/>
      </font>
      <fill>
        <patternFill>
          <fgColor indexed="64"/>
          <bgColor auto="1"/>
        </patternFill>
      </fill>
      <alignment horizontal="general" vertical="bottom" readingOrder="1"/>
    </dxf>
    <dxf>
      <numFmt numFmtId="30" formatCode="@"/>
    </dxf>
    <dxf>
      <numFmt numFmtId="30" formatCode="@"/>
    </dxf>
    <dxf>
      <numFmt numFmtId="30" formatCode="@"/>
    </dxf>
    <dxf>
      <numFmt numFmtId="164" formatCode="m/d/yyyy"/>
    </dxf>
    <dxf>
      <numFmt numFmtId="30" formatCode="@"/>
    </dxf>
    <dxf>
      <numFmt numFmtId="30" formatCode="@"/>
    </dxf>
    <dxf>
      <numFmt numFmtId="165" formatCode="m/d/yyyy\ h:mm"/>
    </dxf>
    <dxf>
      <numFmt numFmtId="165" formatCode="m/d/yyyy\ h:mm"/>
    </dxf>
    <dxf>
      <numFmt numFmtId="0" formatCode="General"/>
    </dxf>
    <dxf>
      <font>
        <name val="Arial"/>
        <charset val="1"/>
        <strike val="0"/>
        <outline val="0"/>
        <shadow val="0"/>
        <condense val="0"/>
        <color rgb="FF434343"/>
        <extend val="0"/>
        <sz val="10"/>
        <vertAlign val="baseline"/>
      </font>
      <numFmt numFmtId="4" formatCode="#,##0.00"/>
      <fill>
        <patternFill>
          <fgColor indexed="64"/>
          <bgColor rgb="FFF6F8F9"/>
        </patternFill>
      </fill>
      <alignment horizontal="general" vertical="bottom" readingOrder="1"/>
    </dxf>
    <dxf>
      <font>
        <name val="Arial"/>
        <charset val="1"/>
        <strike val="0"/>
        <outline val="0"/>
        <shadow val="0"/>
        <condense val="0"/>
        <color rgb="FF434343"/>
        <extend val="0"/>
        <sz val="10"/>
        <vertAlign val="baseline"/>
      </font>
      <numFmt numFmtId="4" formatCode="#,##0.00"/>
      <fill>
        <patternFill>
          <fgColor indexed="64"/>
          <bgColor rgb="FFF6F8F9"/>
        </patternFill>
      </fill>
      <alignment horizontal="general" vertical="bottom" readingOrder="1"/>
    </dxf>
    <dxf>
      <font>
        <name val="Arial"/>
        <charset val="1"/>
        <strike val="0"/>
        <outline val="0"/>
        <shadow val="0"/>
        <condense val="0"/>
        <color rgb="FF434343"/>
        <extend val="0"/>
        <sz val="10"/>
        <vertAlign val="baseline"/>
      </font>
      <numFmt numFmtId="4" formatCode="#,##0.00"/>
      <fill>
        <patternFill>
          <fgColor indexed="64"/>
          <bgColor rgb="FFF6F8F9"/>
        </patternFill>
      </fill>
      <alignment horizontal="general" vertical="bottom" readingOrder="1"/>
    </dxf>
    <dxf>
      <numFmt numFmtId="30" formatCode="@"/>
      <fill>
        <patternFill/>
      </fill>
    </dxf>
    <dxf>
      <fill>
        <patternFill/>
      </fill>
    </dxf>
    <dxf>
      <fill>
        <patternFill/>
      </fill>
    </dxf>
    <dxf>
      <numFmt numFmtId="19" formatCode="dd/mm/yy"/>
      <fill>
        <patternFill/>
      </fill>
    </dxf>
    <dxf>
      <border outline="0">
        <top style="thin">
          <color rgb="FFCCCCCC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</border>
    </dxf>
    <dxf>
      <fill>
        <patternFill/>
      </fill>
    </dxf>
    <dxf>
      <border outline="0">
        <bottom style="thin">
          <color rgb="FF284E3F"/>
        </bottom>
      </border>
    </dxf>
    <dxf>
      <font>
        <name val="Roboto"/>
        <charset val="1"/>
        <strike val="0"/>
        <outline val="0"/>
        <shadow val="0"/>
        <condense val="0"/>
        <color rgb="FFFFFFFF"/>
        <extend val="0"/>
        <sz val="10"/>
        <vertAlign val="baseline"/>
      </font>
      <fill>
        <patternFill patternType="solid">
          <fgColor indexed="64"/>
          <bgColor rgb="FF356854"/>
        </patternFill>
      </fill>
      <alignment horizontal="general" vertical="bottom" readingOrder="1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OfficeForms.Table" displayName="OfficeForms.Table" ref="A1:I137" headerRowCount="1" totalsRowShown="0">
  <autoFilter ref="A1:I137"/>
  <tableColumns count="9">
    <tableColumn id="1" name="Id" dataDxfId="17">
      <extLst>
        <ext uri="{FCC71383-01E1-4257-9335-427F07BE8D7F}"/>
      </extLst>
    </tableColumn>
    <tableColumn id="2" name="Start time" dataDxfId="16">
      <extLst>
        <ext uri="{FCC71383-01E1-4257-9335-427F07BE8D7F}"/>
      </extLst>
    </tableColumn>
    <tableColumn id="3" name="Completion time" dataDxfId="15">
      <extLst>
        <ext uri="{FCC71383-01E1-4257-9335-427F07BE8D7F}"/>
      </extLst>
    </tableColumn>
    <tableColumn id="4" name="Email" dataDxfId="14">
      <extLst>
        <ext uri="{FCC71383-01E1-4257-9335-427F07BE8D7F}"/>
      </extLst>
    </tableColumn>
    <tableColumn id="5" name="Name" dataDxfId="13">
      <extLst>
        <ext uri="{FCC71383-01E1-4257-9335-427F07BE8D7F}"/>
      </extLst>
    </tableColumn>
    <tableColumn id="6" name="Date" dataDxfId="12">
      <extLst>
        <ext uri="{FCC71383-01E1-4257-9335-427F07BE8D7F}"/>
      </extLst>
    </tableColumn>
    <tableColumn id="7" name="Amount" dataDxfId="11">
      <extLst>
        <ext uri="{FCC71383-01E1-4257-9335-427F07BE8D7F}"/>
      </extLst>
    </tableColumn>
    <tableColumn id="8" name="Spender" dataDxfId="10">
      <extLst>
        <ext uri="{FCC71383-01E1-4257-9335-427F07BE8D7F}"/>
      </extLst>
    </tableColumn>
    <tableColumn id="9" name="Remark" dataDxfId="9">
      <extLst>
        <ext uri="{FCC71383-01E1-4257-9335-427F07BE8D7F}"/>
      </extLst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G303" headerRowCount="1" totalsRowShown="0" headerRowDxfId="29" dataDxfId="27" headerRowBorderDxfId="28" tableBorderDxfId="26" totalsRowBorderDxfId="25">
  <autoFilter ref="A1:G303"/>
  <tableColumns count="7">
    <tableColumn id="1" name="Date" dataDxfId="24"/>
    <tableColumn id="2" name="Amount" dataDxfId="23" dataCellStyle="Comma"/>
    <tableColumn id="3" name="Spender" dataDxfId="22"/>
    <tableColumn id="4" name="Remark" dataDxfId="21"/>
    <tableColumn id="5" name="My Actual Balance" dataDxfId="20">
      <calculatedColumnFormula>IF(Table2[[#This Row],[Spender]]="YEONG",OFFSET(Table2[[#This Row],[My Actual Balance]],-1,0)-Table2[[#This Row],[Amount]],OFFSET(Table2[[#This Row],[My Actual Balance]],-1,0))</calculatedColumnFormula>
    </tableColumn>
    <tableColumn id="6" name="MV Balance" dataDxfId="19">
      <calculatedColumnFormula>IF(Table2[[#This Row],[Spender]]="MV",OFFSET(Table2[[#This Row],[MV Balance]],-1,0)-Table2[[#This Row],[Amount]],OFFSET(Table2[[#This Row],[MV Balance]],-1,0))</calculatedColumnFormula>
    </tableColumn>
    <tableColumn id="7" name="Bank Balance" dataDxfId="18">
      <calculatedColumnFormula>SUM(E2:F2)</calculatedColumnFormula>
    </tableColumn>
  </tableColumns>
  <tableStyleInfo name="TableStyleLight21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G24" headerRowCount="1" totalsRowShown="0" headerRowDxfId="8" dataDxfId="7">
  <autoFilter ref="A1:G24"/>
  <tableColumns count="7">
    <tableColumn id="1" name="Date" dataDxfId="6"/>
    <tableColumn id="2" name="Amount" dataDxfId="5"/>
    <tableColumn id="3" name="Spender" dataDxfId="4"/>
    <tableColumn id="4" name="Remark" dataDxfId="3"/>
    <tableColumn id="5" name="My Actual Balance" dataDxfId="2">
      <calculatedColumnFormula>IF(Table3[[#This Row],[Spender]]="YEONG",OFFSET(Table3[[#This Row],[My Actual Balance]],-1,0)-Table3[[#This Row],[Amount]],OFFSET(Table3[[#This Row],[My Actual Balance]],-1,0))</calculatedColumnFormula>
    </tableColumn>
    <tableColumn id="6" name="MV Balance" dataDxfId="1">
      <calculatedColumnFormula>IF(Table3[[#This Row],[Spender]]="MV",OFFSET(Table3[[#This Row],[MV Balance]],-1,0)-Table3[[#This Row],[Amount]],OFFSET(Table3[[#This Row],[MV Balance]],-1,0))</calculatedColumnFormula>
    </tableColumn>
    <tableColumn id="7" name="Bank Balance" dataDxfId="0">
      <calculatedColumnFormula>SUM(E2:F2)</calculatedColumnFormula>
    </tableColumn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7"/>
  <sheetViews>
    <sheetView workbookViewId="0">
      <selection activeCell="A1" sqref="A1"/>
    </sheetView>
  </sheetViews>
  <sheetFormatPr baseColWidth="8" defaultRowHeight="14.25"/>
  <cols>
    <col width="20.06640625" bestFit="1" customWidth="1" min="1" max="1"/>
    <col width="20.06640625" bestFit="1" customWidth="1" style="2" min="2" max="3"/>
    <col width="20.06640625" bestFit="1" customWidth="1" min="4" max="5"/>
    <col width="20.06640625" bestFit="1" customWidth="1" style="1" min="6" max="6"/>
    <col width="20.06640625" bestFit="1" customWidth="1" min="7" max="9"/>
  </cols>
  <sheetData>
    <row r="1">
      <c r="A1" t="inlineStr">
        <is>
          <t>Id</t>
        </is>
      </c>
      <c r="B1" s="2" t="inlineStr">
        <is>
          <t>Start time</t>
        </is>
      </c>
      <c r="C1" s="2" t="inlineStr">
        <is>
          <t>Completion time</t>
        </is>
      </c>
      <c r="D1" t="inlineStr">
        <is>
          <t>Email</t>
        </is>
      </c>
      <c r="E1" t="inlineStr">
        <is>
          <t>Name</t>
        </is>
      </c>
      <c r="F1" s="1" t="inlineStr">
        <is>
          <t>Date</t>
        </is>
      </c>
      <c r="G1" t="inlineStr">
        <is>
          <t>Amount</t>
        </is>
      </c>
      <c r="H1" t="inlineStr">
        <is>
          <t>Spender</t>
        </is>
      </c>
      <c r="I1" t="inlineStr">
        <is>
          <t>Remark</t>
        </is>
      </c>
    </row>
    <row r="2">
      <c r="A2" t="n">
        <v>5</v>
      </c>
      <c r="B2" s="2" t="n">
        <v>45818.6062962963</v>
      </c>
      <c r="C2" s="2" t="n">
        <v>45818.60641203704</v>
      </c>
      <c r="D2" s="3" t="inlineStr">
        <is>
          <t>anonymous</t>
        </is>
      </c>
      <c r="E2" s="3" t="n"/>
      <c r="F2" s="1" t="n">
        <v>45818</v>
      </c>
      <c r="G2" s="4" t="inlineStr">
        <is>
          <t>5537</t>
        </is>
      </c>
      <c r="H2" s="3" t="inlineStr">
        <is>
          <t>MV</t>
        </is>
      </c>
      <c r="I2" s="3" t="n"/>
    </row>
    <row r="3">
      <c r="A3" t="n">
        <v>6</v>
      </c>
      <c r="B3" s="2" t="n">
        <v>45819.55459490741</v>
      </c>
      <c r="C3" s="2" t="n">
        <v>45819.55480324074</v>
      </c>
      <c r="D3" s="3" t="inlineStr">
        <is>
          <t>anonymous</t>
        </is>
      </c>
      <c r="E3" s="3" t="n"/>
      <c r="F3" s="1" t="n">
        <v>45819</v>
      </c>
      <c r="G3" s="4" t="inlineStr">
        <is>
          <t>720.5</t>
        </is>
      </c>
      <c r="H3" s="3" t="inlineStr">
        <is>
          <t>MV</t>
        </is>
      </c>
      <c r="I3" s="3" t="inlineStr">
        <is>
          <t>Top up to alipay</t>
        </is>
      </c>
    </row>
    <row r="4">
      <c r="A4" t="n">
        <v>7</v>
      </c>
      <c r="B4" s="2" t="n">
        <v>45825.65172453703</v>
      </c>
      <c r="C4" s="2" t="n">
        <v>45825.651875</v>
      </c>
      <c r="D4" s="3" t="inlineStr">
        <is>
          <t>anonymous</t>
        </is>
      </c>
      <c r="E4" s="3" t="n"/>
      <c r="F4" s="1" t="n">
        <v>45825</v>
      </c>
      <c r="G4" s="4" t="inlineStr">
        <is>
          <t>-10000</t>
        </is>
      </c>
      <c r="H4" s="3" t="inlineStr">
        <is>
          <t>MV</t>
        </is>
      </c>
      <c r="I4" s="3" t="inlineStr">
        <is>
          <t>Top up</t>
        </is>
      </c>
    </row>
    <row r="5">
      <c r="A5" t="n">
        <v>8</v>
      </c>
      <c r="B5" s="2" t="n">
        <v>45825.65443287037</v>
      </c>
      <c r="C5" s="2" t="n">
        <v>45825.65756944445</v>
      </c>
      <c r="D5" s="3" t="inlineStr">
        <is>
          <t>anonymous</t>
        </is>
      </c>
      <c r="E5" s="3" t="n"/>
      <c r="F5" s="1" t="n">
        <v>45825</v>
      </c>
      <c r="G5" s="4" t="inlineStr">
        <is>
          <t>2621.55</t>
        </is>
      </c>
      <c r="H5" s="3" t="inlineStr">
        <is>
          <t>MV</t>
        </is>
      </c>
      <c r="I5" s="3" t="inlineStr">
        <is>
          <t>XH20250612007</t>
        </is>
      </c>
    </row>
    <row r="6">
      <c r="A6" t="n">
        <v>9</v>
      </c>
      <c r="B6" s="2" t="n">
        <v>45828.68950231482</v>
      </c>
      <c r="C6" s="2" t="n">
        <v>45828.68966435185</v>
      </c>
      <c r="D6" s="3" t="inlineStr">
        <is>
          <t>anonymous</t>
        </is>
      </c>
      <c r="E6" s="3" t="n"/>
      <c r="F6" s="1" t="n">
        <v>45828</v>
      </c>
      <c r="G6" s="4" t="inlineStr">
        <is>
          <t xml:space="preserve"> 537.00 </t>
        </is>
      </c>
      <c r="H6" s="3" t="inlineStr">
        <is>
          <t>MV</t>
        </is>
      </c>
      <c r="I6" s="4" t="inlineStr">
        <is>
          <t>4396290445101544919</t>
        </is>
      </c>
    </row>
    <row r="7">
      <c r="A7" t="n">
        <v>10</v>
      </c>
      <c r="B7" s="2" t="n">
        <v>45828.68967592593</v>
      </c>
      <c r="C7" s="2" t="n">
        <v>45828.68979166666</v>
      </c>
      <c r="D7" s="3" t="inlineStr">
        <is>
          <t>anonymous</t>
        </is>
      </c>
      <c r="E7" s="3" t="n"/>
      <c r="F7" s="1" t="n">
        <v>45828</v>
      </c>
      <c r="G7" s="4" t="inlineStr">
        <is>
          <t xml:space="preserve"> 490.00 </t>
        </is>
      </c>
      <c r="H7" s="3" t="inlineStr">
        <is>
          <t>MV</t>
        </is>
      </c>
      <c r="I7" s="4" t="inlineStr">
        <is>
          <t>4396693467119544919</t>
        </is>
      </c>
    </row>
    <row r="8">
      <c r="A8" t="n">
        <v>11</v>
      </c>
      <c r="B8" s="2" t="n">
        <v>45828.68982638889</v>
      </c>
      <c r="C8" s="2" t="n">
        <v>45828.69046296296</v>
      </c>
      <c r="D8" s="3" t="inlineStr">
        <is>
          <t>anonymous</t>
        </is>
      </c>
      <c r="E8" s="3" t="n"/>
      <c r="F8" s="1" t="n">
        <v>45828</v>
      </c>
      <c r="G8" s="4" t="inlineStr">
        <is>
          <t xml:space="preserve"> 860.00 </t>
        </is>
      </c>
      <c r="H8" s="3" t="inlineStr">
        <is>
          <t>MV</t>
        </is>
      </c>
      <c r="I8" s="4" t="inlineStr">
        <is>
          <t>4396688211726544919</t>
        </is>
      </c>
    </row>
    <row r="9">
      <c r="A9" t="n">
        <v>12</v>
      </c>
      <c r="B9" s="2" t="n">
        <v>45828.69079861111</v>
      </c>
      <c r="C9" s="2" t="n">
        <v>45828.69121527778</v>
      </c>
      <c r="D9" s="3" t="inlineStr">
        <is>
          <t>anonymous</t>
        </is>
      </c>
      <c r="E9" s="3" t="n"/>
      <c r="F9" s="1" t="n">
        <v>45828</v>
      </c>
      <c r="G9" s="4" t="inlineStr">
        <is>
          <t xml:space="preserve"> 570.00 </t>
        </is>
      </c>
      <c r="H9" s="3" t="inlineStr">
        <is>
          <t>MV</t>
        </is>
      </c>
      <c r="I9" s="4" t="inlineStr">
        <is>
          <t>4396618370394544919</t>
        </is>
      </c>
    </row>
    <row r="10">
      <c r="A10" t="n">
        <v>13</v>
      </c>
      <c r="B10" s="2" t="n">
        <v>45828.6913425926</v>
      </c>
      <c r="C10" s="2" t="n">
        <v>45828.69186342593</v>
      </c>
      <c r="D10" s="3" t="inlineStr">
        <is>
          <t>anonymous</t>
        </is>
      </c>
      <c r="E10" s="3" t="n"/>
      <c r="F10" s="1" t="n">
        <v>45828</v>
      </c>
      <c r="G10" s="4" t="inlineStr">
        <is>
          <t xml:space="preserve"> 560.00 </t>
        </is>
      </c>
      <c r="H10" s="3" t="inlineStr">
        <is>
          <t>MV</t>
        </is>
      </c>
      <c r="I10" s="4" t="inlineStr">
        <is>
          <t>4396289905203544919</t>
        </is>
      </c>
    </row>
    <row r="11">
      <c r="A11" t="n">
        <v>14</v>
      </c>
      <c r="B11" s="2" t="n">
        <v>45834.63759259259</v>
      </c>
      <c r="C11" s="2" t="n">
        <v>45834.63769675926</v>
      </c>
      <c r="D11" s="3" t="inlineStr">
        <is>
          <t>anonymous</t>
        </is>
      </c>
      <c r="E11" s="3" t="n"/>
      <c r="F11" s="1" t="n">
        <v>45834</v>
      </c>
      <c r="G11" s="4" t="inlineStr">
        <is>
          <t>4045</t>
        </is>
      </c>
      <c r="H11" s="3" t="inlineStr">
        <is>
          <t>MV</t>
        </is>
      </c>
      <c r="I11" s="4" t="n"/>
    </row>
    <row r="12">
      <c r="A12" t="n">
        <v>15</v>
      </c>
      <c r="B12" s="2" t="n">
        <v>45834.87334490741</v>
      </c>
      <c r="C12" s="2" t="n">
        <v>45834.87350694444</v>
      </c>
      <c r="D12" s="3" t="inlineStr">
        <is>
          <t>anonymous</t>
        </is>
      </c>
      <c r="E12" s="3" t="n"/>
      <c r="F12" s="1" t="n">
        <v>45834</v>
      </c>
      <c r="G12" s="4" t="inlineStr">
        <is>
          <t>500</t>
        </is>
      </c>
      <c r="H12" s="3" t="inlineStr">
        <is>
          <t>YEONG</t>
        </is>
      </c>
      <c r="I12" s="4" t="inlineStr">
        <is>
          <t>Top up alipay</t>
        </is>
      </c>
    </row>
    <row r="13">
      <c r="A13" t="n">
        <v>16</v>
      </c>
      <c r="B13" s="2" t="n">
        <v>45834.87534722222</v>
      </c>
      <c r="C13" s="2" t="n">
        <v>45834.87559027778</v>
      </c>
      <c r="D13" s="3" t="inlineStr">
        <is>
          <t>anonymous</t>
        </is>
      </c>
      <c r="E13" s="3" t="n"/>
      <c r="F13" s="1" t="n">
        <v>45834</v>
      </c>
      <c r="G13" s="4" t="inlineStr">
        <is>
          <t>-1.39</t>
        </is>
      </c>
      <c r="H13" s="3" t="inlineStr">
        <is>
          <t>YEONG</t>
        </is>
      </c>
      <c r="I13" s="4" t="inlineStr">
        <is>
          <t>Interest</t>
        </is>
      </c>
    </row>
    <row r="14">
      <c r="A14" t="n">
        <v>17</v>
      </c>
      <c r="B14" s="2" t="n">
        <v>45837.74015046296</v>
      </c>
      <c r="C14" s="2" t="n">
        <v>45837.74040509259</v>
      </c>
      <c r="D14" s="3" t="inlineStr">
        <is>
          <t>anonymous</t>
        </is>
      </c>
      <c r="E14" s="3" t="n"/>
      <c r="F14" s="1" t="n">
        <v>45837</v>
      </c>
      <c r="G14" s="4" t="inlineStr">
        <is>
          <t>500</t>
        </is>
      </c>
      <c r="H14" s="3" t="inlineStr">
        <is>
          <t>YEONG</t>
        </is>
      </c>
      <c r="I14" s="4" t="inlineStr">
        <is>
          <t>Top up</t>
        </is>
      </c>
    </row>
    <row r="15">
      <c r="A15" t="n">
        <v>18</v>
      </c>
      <c r="B15" s="2" t="n">
        <v>45837.78466435185</v>
      </c>
      <c r="C15" s="2" t="n">
        <v>45837.78542824074</v>
      </c>
      <c r="D15" s="3" t="inlineStr">
        <is>
          <t>anonymous</t>
        </is>
      </c>
      <c r="E15" s="3" t="n"/>
      <c r="F15" s="1" t="n">
        <v>45837</v>
      </c>
      <c r="G15" s="4" t="inlineStr">
        <is>
          <t>300</t>
        </is>
      </c>
      <c r="H15" s="3" t="inlineStr">
        <is>
          <t>YEONG</t>
        </is>
      </c>
      <c r="I15" s="4" t="inlineStr">
        <is>
          <t>Dinner</t>
        </is>
      </c>
    </row>
    <row r="16">
      <c r="A16" t="n">
        <v>19</v>
      </c>
      <c r="B16" s="2" t="n">
        <v>45839.6291087963</v>
      </c>
      <c r="C16" s="2" t="n">
        <v>45839.62931712963</v>
      </c>
      <c r="D16" s="3" t="inlineStr">
        <is>
          <t>anonymous</t>
        </is>
      </c>
      <c r="E16" s="3" t="n"/>
      <c r="F16" s="1" t="n">
        <v>45839</v>
      </c>
      <c r="G16" s="4" t="inlineStr">
        <is>
          <t>-10000</t>
        </is>
      </c>
      <c r="H16" s="3" t="inlineStr">
        <is>
          <t>MV</t>
        </is>
      </c>
      <c r="I16" s="4" t="n"/>
    </row>
    <row r="17">
      <c r="A17" t="n">
        <v>20</v>
      </c>
      <c r="B17" s="2" t="n">
        <v>45841.69478009259</v>
      </c>
      <c r="C17" s="2" t="n">
        <v>45841.69497685185</v>
      </c>
      <c r="D17" s="3" t="inlineStr">
        <is>
          <t>anonymous</t>
        </is>
      </c>
      <c r="E17" s="3" t="n"/>
      <c r="F17" s="1" t="n">
        <v>45841</v>
      </c>
      <c r="G17" s="4" t="inlineStr">
        <is>
          <t>900</t>
        </is>
      </c>
      <c r="H17" s="3" t="inlineStr">
        <is>
          <t>MV</t>
        </is>
      </c>
      <c r="I17" s="4" t="inlineStr">
        <is>
          <t>4609107828972544919</t>
        </is>
      </c>
    </row>
    <row r="18">
      <c r="A18" t="n">
        <v>21</v>
      </c>
      <c r="B18" s="2" t="n">
        <v>45841.6965162037</v>
      </c>
      <c r="C18" s="2" t="n">
        <v>45841.69664351852</v>
      </c>
      <c r="D18" s="3" t="inlineStr">
        <is>
          <t>anonymous</t>
        </is>
      </c>
      <c r="E18" s="3" t="n"/>
      <c r="F18" s="1" t="n">
        <v>45841</v>
      </c>
      <c r="G18" s="4" t="inlineStr">
        <is>
          <t>974</t>
        </is>
      </c>
      <c r="H18" s="3" t="inlineStr">
        <is>
          <t>MV</t>
        </is>
      </c>
      <c r="I18" s="4" t="inlineStr">
        <is>
          <t>4609077446645544919</t>
        </is>
      </c>
    </row>
    <row r="19">
      <c r="A19" t="n">
        <v>22</v>
      </c>
      <c r="B19" s="2" t="n">
        <v>45842.4356712963</v>
      </c>
      <c r="C19" s="2" t="n">
        <v>45842.43577546296</v>
      </c>
      <c r="D19" s="3" t="inlineStr">
        <is>
          <t>anonymous</t>
        </is>
      </c>
      <c r="E19" s="3" t="n"/>
      <c r="F19" s="1" t="n">
        <v>45842</v>
      </c>
      <c r="G19" s="4" t="inlineStr">
        <is>
          <t>300</t>
        </is>
      </c>
      <c r="H19" s="3" t="inlineStr">
        <is>
          <t>YEONG</t>
        </is>
      </c>
      <c r="I19" s="4" t="inlineStr">
        <is>
          <t>Top up</t>
        </is>
      </c>
    </row>
    <row r="20">
      <c r="A20" t="n">
        <v>23</v>
      </c>
      <c r="B20" s="2" t="n">
        <v>45842.70788194444</v>
      </c>
      <c r="C20" s="2" t="n">
        <v>45842.70819444444</v>
      </c>
      <c r="D20" s="3" t="inlineStr">
        <is>
          <t>anonymous</t>
        </is>
      </c>
      <c r="E20" s="3" t="n"/>
      <c r="F20" s="1" t="n">
        <v>45842</v>
      </c>
      <c r="G20" s="4" t="inlineStr">
        <is>
          <t>2</t>
        </is>
      </c>
      <c r="H20" s="3" t="inlineStr">
        <is>
          <t>YEONG</t>
        </is>
      </c>
      <c r="I20" s="4" t="inlineStr">
        <is>
          <t>景山公园</t>
        </is>
      </c>
    </row>
    <row r="21">
      <c r="A21" t="n">
        <v>24</v>
      </c>
      <c r="B21" s="2" t="n">
        <v>45843.88185185185</v>
      </c>
      <c r="C21" s="2" t="n">
        <v>45843.88200231481</v>
      </c>
      <c r="D21" s="3" t="inlineStr">
        <is>
          <t>anonymous</t>
        </is>
      </c>
      <c r="E21" s="3" t="n"/>
      <c r="F21" s="1" t="n">
        <v>45843</v>
      </c>
      <c r="G21" s="4" t="inlineStr">
        <is>
          <t>300</t>
        </is>
      </c>
      <c r="H21" s="3" t="inlineStr">
        <is>
          <t>YEONG</t>
        </is>
      </c>
      <c r="I21" s="4" t="inlineStr">
        <is>
          <t>Top up</t>
        </is>
      </c>
    </row>
    <row r="22">
      <c r="A22" t="n">
        <v>25</v>
      </c>
      <c r="B22" s="2" t="n">
        <v>45846.66571759259</v>
      </c>
      <c r="C22" s="2" t="n">
        <v>45846.66604166666</v>
      </c>
      <c r="D22" s="3" t="inlineStr">
        <is>
          <t>anonymous</t>
        </is>
      </c>
      <c r="E22" s="3" t="n"/>
      <c r="F22" s="1" t="n">
        <v>45846</v>
      </c>
      <c r="G22" s="4" t="inlineStr">
        <is>
          <t>-79.48</t>
        </is>
      </c>
      <c r="H22" s="3" t="inlineStr">
        <is>
          <t>YEONG</t>
        </is>
      </c>
      <c r="I22" s="4" t="inlineStr">
        <is>
          <t>return from alipay</t>
        </is>
      </c>
    </row>
    <row r="23">
      <c r="A23" t="n">
        <v>26</v>
      </c>
      <c r="B23" s="2" t="n">
        <v>45846.66827546297</v>
      </c>
      <c r="C23" s="2" t="n">
        <v>45846.66857638889</v>
      </c>
      <c r="D23" s="3" t="inlineStr">
        <is>
          <t>anonymous</t>
        </is>
      </c>
      <c r="E23" s="3" t="n"/>
      <c r="F23" s="1" t="n">
        <v>45846</v>
      </c>
      <c r="G23" s="4" t="inlineStr">
        <is>
          <t>1740</t>
        </is>
      </c>
      <c r="H23" s="3" t="inlineStr">
        <is>
          <t>MV</t>
        </is>
      </c>
      <c r="I23" s="4" t="inlineStr">
        <is>
          <t>4620571741570544919</t>
        </is>
      </c>
    </row>
    <row r="24">
      <c r="A24" t="n">
        <v>27</v>
      </c>
      <c r="B24" s="2" t="n">
        <v>45848.69984953704</v>
      </c>
      <c r="C24" s="2" t="n">
        <v>45848.70012731481</v>
      </c>
      <c r="D24" s="3" t="inlineStr">
        <is>
          <t>anonymous</t>
        </is>
      </c>
      <c r="E24" s="3" t="n"/>
      <c r="F24" s="1" t="n">
        <v>45848</v>
      </c>
      <c r="G24" s="4" t="inlineStr">
        <is>
          <t>11.26</t>
        </is>
      </c>
      <c r="H24" s="3" t="inlineStr">
        <is>
          <t>YEONG</t>
        </is>
      </c>
      <c r="I24" s="4" t="inlineStr">
        <is>
          <t>Muji spectacles wipe</t>
        </is>
      </c>
    </row>
    <row r="25">
      <c r="A25" t="n">
        <v>28</v>
      </c>
      <c r="B25" s="2" t="n">
        <v>45849.48746527778</v>
      </c>
      <c r="C25" s="2" t="n">
        <v>45849.48758101852</v>
      </c>
      <c r="D25" s="3" t="inlineStr">
        <is>
          <t>anonymous</t>
        </is>
      </c>
      <c r="E25" s="3" t="n"/>
      <c r="F25" s="1" t="n">
        <v>45849</v>
      </c>
      <c r="G25" s="4" t="inlineStr">
        <is>
          <t>2550</t>
        </is>
      </c>
      <c r="H25" s="3" t="inlineStr">
        <is>
          <t>MV</t>
        </is>
      </c>
      <c r="I25" s="4" t="inlineStr">
        <is>
          <t>4623956858567544919</t>
        </is>
      </c>
    </row>
    <row r="26">
      <c r="A26" t="n">
        <v>29</v>
      </c>
      <c r="B26" s="2" t="n">
        <v>45850.60811342593</v>
      </c>
      <c r="C26" s="2" t="n">
        <v>45850.60925925926</v>
      </c>
      <c r="D26" s="3" t="inlineStr">
        <is>
          <t>anonymous</t>
        </is>
      </c>
      <c r="E26" s="3" t="n"/>
      <c r="F26" s="1" t="n">
        <v>45850</v>
      </c>
      <c r="G26" s="4" t="inlineStr">
        <is>
          <t>894.00</t>
        </is>
      </c>
      <c r="H26" s="3" t="inlineStr">
        <is>
          <t>MV</t>
        </is>
      </c>
      <c r="I26" s="4" t="inlineStr">
        <is>
          <t>4625418026987544919</t>
        </is>
      </c>
    </row>
    <row r="27">
      <c r="A27" t="n">
        <v>30</v>
      </c>
      <c r="B27" s="2" t="n">
        <v>45850.60929398148</v>
      </c>
      <c r="C27" s="2" t="n">
        <v>45850.60944444445</v>
      </c>
      <c r="D27" s="3" t="inlineStr">
        <is>
          <t>anonymous</t>
        </is>
      </c>
      <c r="E27" s="3" t="n"/>
      <c r="F27" s="1" t="n">
        <v>45850</v>
      </c>
      <c r="G27" s="4" t="inlineStr">
        <is>
          <t>627.00</t>
        </is>
      </c>
      <c r="H27" s="3" t="inlineStr">
        <is>
          <t>MV</t>
        </is>
      </c>
      <c r="I27" s="4" t="inlineStr">
        <is>
          <t>4625422849778544919</t>
        </is>
      </c>
    </row>
    <row r="28">
      <c r="A28" t="n">
        <v>31</v>
      </c>
      <c r="B28" s="2" t="n">
        <v>45850.60929398148</v>
      </c>
      <c r="C28" s="2" t="n">
        <v>45850.60966435185</v>
      </c>
      <c r="D28" s="3" t="inlineStr">
        <is>
          <t>anonymous</t>
        </is>
      </c>
      <c r="E28" s="3" t="n"/>
      <c r="F28" s="1" t="n">
        <v>45850</v>
      </c>
      <c r="G28" s="4" t="inlineStr">
        <is>
          <t>520</t>
        </is>
      </c>
      <c r="H28" s="3" t="inlineStr">
        <is>
          <t>MV</t>
        </is>
      </c>
      <c r="I28" s="4" t="inlineStr">
        <is>
          <t>4625417594881544919</t>
        </is>
      </c>
    </row>
    <row r="29">
      <c r="A29" t="n">
        <v>32</v>
      </c>
      <c r="B29" s="2" t="n">
        <v>45852.75853009259</v>
      </c>
      <c r="C29" s="2" t="n">
        <v>45852.75895833333</v>
      </c>
      <c r="D29" s="3" t="inlineStr">
        <is>
          <t>anonymous</t>
        </is>
      </c>
      <c r="E29" s="3" t="n"/>
      <c r="F29" s="1" t="n">
        <v>45852</v>
      </c>
      <c r="G29" s="4" t="inlineStr">
        <is>
          <t>946</t>
        </is>
      </c>
      <c r="H29" s="3" t="inlineStr">
        <is>
          <t>MV</t>
        </is>
      </c>
      <c r="I29" s="4" t="inlineStr">
        <is>
          <t>4631250384132544919</t>
        </is>
      </c>
    </row>
    <row r="30">
      <c r="A30" t="n">
        <v>33</v>
      </c>
      <c r="B30" s="2" t="n">
        <v>45853.84243055555</v>
      </c>
      <c r="C30" s="2" t="n">
        <v>45853.84299768518</v>
      </c>
      <c r="D30" s="3" t="inlineStr">
        <is>
          <t>anonymous</t>
        </is>
      </c>
      <c r="E30" s="3" t="n"/>
      <c r="F30" s="1" t="n">
        <v>45853</v>
      </c>
      <c r="G30" s="4" t="inlineStr">
        <is>
          <t>1025</t>
        </is>
      </c>
      <c r="H30" s="3" t="inlineStr">
        <is>
          <t>MV</t>
        </is>
      </c>
      <c r="I30" s="4" t="inlineStr">
        <is>
          <t>4633255083221544919</t>
        </is>
      </c>
    </row>
    <row r="31">
      <c r="A31" t="n">
        <v>34</v>
      </c>
      <c r="B31" s="2" t="n">
        <v>45855.61876157407</v>
      </c>
      <c r="C31" s="2" t="n">
        <v>45855.61931712963</v>
      </c>
      <c r="D31" s="3" t="inlineStr">
        <is>
          <t>anonymous</t>
        </is>
      </c>
      <c r="E31" s="3" t="n"/>
      <c r="F31" s="1" t="n">
        <v>45855</v>
      </c>
      <c r="G31" s="4" t="inlineStr">
        <is>
          <t>-10000</t>
        </is>
      </c>
      <c r="H31" s="3" t="inlineStr">
        <is>
          <t>MV</t>
        </is>
      </c>
      <c r="I31" s="4" t="inlineStr">
        <is>
          <t>MV TOP UP</t>
        </is>
      </c>
    </row>
    <row r="32">
      <c r="A32" t="n">
        <v>35</v>
      </c>
      <c r="B32" s="2" t="n">
        <v>45856.50736111111</v>
      </c>
      <c r="C32" s="2" t="n">
        <v>45856.50903935185</v>
      </c>
      <c r="D32" s="3" t="inlineStr">
        <is>
          <t>anonymous</t>
        </is>
      </c>
      <c r="E32" s="3" t="n"/>
      <c r="F32" s="1" t="n">
        <v>45856</v>
      </c>
      <c r="G32" s="4" t="inlineStr">
        <is>
          <t>825</t>
        </is>
      </c>
      <c r="H32" s="3" t="inlineStr">
        <is>
          <t>MV</t>
        </is>
      </c>
      <c r="I32" s="4" t="inlineStr">
        <is>
          <t>4634427205749544919</t>
        </is>
      </c>
    </row>
    <row r="33">
      <c r="A33" t="n">
        <v>36</v>
      </c>
      <c r="B33" s="2" t="n">
        <v>45856.77461805556</v>
      </c>
      <c r="C33" s="2" t="n">
        <v>45856.77497685186</v>
      </c>
      <c r="D33" s="3" t="inlineStr">
        <is>
          <t>anonymous</t>
        </is>
      </c>
      <c r="E33" s="3" t="n"/>
      <c r="F33" s="1" t="n">
        <v>45856</v>
      </c>
      <c r="G33" s="4" t="inlineStr">
        <is>
          <t>982.50</t>
        </is>
      </c>
      <c r="H33" s="3" t="inlineStr">
        <is>
          <t>MV</t>
        </is>
      </c>
      <c r="I33" s="4" t="inlineStr">
        <is>
          <t>4638114288214544919</t>
        </is>
      </c>
    </row>
    <row r="34">
      <c r="A34" t="n">
        <v>37</v>
      </c>
      <c r="B34" s="2" t="n">
        <v>45861.47783564815</v>
      </c>
      <c r="C34" s="2" t="n">
        <v>45861.47802083333</v>
      </c>
      <c r="D34" s="3" t="inlineStr">
        <is>
          <t>anonymous</t>
        </is>
      </c>
      <c r="E34" s="3" t="n"/>
      <c r="F34" s="1" t="n">
        <v>45861</v>
      </c>
      <c r="G34" s="4" t="inlineStr">
        <is>
          <t>448.00</t>
        </is>
      </c>
      <c r="H34" s="3" t="inlineStr">
        <is>
          <t>MV</t>
        </is>
      </c>
      <c r="I34" s="4" t="inlineStr">
        <is>
          <t>4643984016620544919</t>
        </is>
      </c>
    </row>
    <row r="35">
      <c r="A35" t="n">
        <v>38</v>
      </c>
      <c r="B35" s="2" t="n">
        <v>45861.80923611111</v>
      </c>
      <c r="C35" s="2" t="n">
        <v>45861.80935185185</v>
      </c>
      <c r="D35" s="3" t="inlineStr">
        <is>
          <t>anonymous</t>
        </is>
      </c>
      <c r="E35" s="3" t="n"/>
      <c r="F35" s="1" t="n">
        <v>45861</v>
      </c>
      <c r="G35" s="4" t="inlineStr">
        <is>
          <t>46</t>
        </is>
      </c>
      <c r="H35" s="3" t="inlineStr">
        <is>
          <t>YEONG</t>
        </is>
      </c>
      <c r="I35" s="4" t="inlineStr">
        <is>
          <t>Food</t>
        </is>
      </c>
    </row>
    <row r="36">
      <c r="A36" t="n">
        <v>39</v>
      </c>
      <c r="B36" s="2" t="n">
        <v>45863.56684027778</v>
      </c>
      <c r="C36" s="2" t="n">
        <v>45863.56783564815</v>
      </c>
      <c r="D36" s="3" t="inlineStr">
        <is>
          <t>anonymous</t>
        </is>
      </c>
      <c r="E36" s="3" t="n"/>
      <c r="F36" s="1" t="n">
        <v>45863</v>
      </c>
      <c r="G36" s="4" t="inlineStr">
        <is>
          <t>297.5</t>
        </is>
      </c>
      <c r="H36" s="3" t="inlineStr">
        <is>
          <t>MV</t>
        </is>
      </c>
      <c r="I36" s="4" t="inlineStr">
        <is>
          <t>4649993534155544919</t>
        </is>
      </c>
    </row>
    <row r="37">
      <c r="A37" t="n">
        <v>40</v>
      </c>
      <c r="B37" s="2" t="n">
        <v>45863.56809027777</v>
      </c>
      <c r="C37" s="2" t="n">
        <v>45863.56824074074</v>
      </c>
      <c r="D37" s="3" t="inlineStr">
        <is>
          <t>anonymous</t>
        </is>
      </c>
      <c r="E37" s="3" t="n"/>
      <c r="F37" s="1" t="n">
        <v>45863</v>
      </c>
      <c r="G37" s="4" t="inlineStr">
        <is>
          <t>840</t>
        </is>
      </c>
      <c r="H37" s="3" t="inlineStr">
        <is>
          <t>MV</t>
        </is>
      </c>
      <c r="I37" s="4" t="inlineStr">
        <is>
          <t>4649990761822544919</t>
        </is>
      </c>
    </row>
    <row r="38">
      <c r="A38" t="n">
        <v>41</v>
      </c>
      <c r="B38" s="2" t="n">
        <v>45864.53700231481</v>
      </c>
      <c r="C38" s="2" t="n">
        <v>45864.53760416667</v>
      </c>
      <c r="D38" s="3" t="inlineStr">
        <is>
          <t>anonymous</t>
        </is>
      </c>
      <c r="E38" s="3" t="n"/>
      <c r="F38" s="1" t="n">
        <v>45864</v>
      </c>
      <c r="G38" s="4" t="inlineStr">
        <is>
          <t>825</t>
        </is>
      </c>
      <c r="H38" s="3" t="inlineStr">
        <is>
          <t>MV</t>
        </is>
      </c>
      <c r="I38" s="4" t="inlineStr">
        <is>
          <t>4649987594817544919</t>
        </is>
      </c>
    </row>
    <row r="39">
      <c r="A39" t="n">
        <v>42</v>
      </c>
      <c r="B39" s="2" t="n">
        <v>45864.53857638889</v>
      </c>
      <c r="C39" s="2" t="n">
        <v>45864.53886574074</v>
      </c>
      <c r="D39" s="3" t="inlineStr">
        <is>
          <t>anonymous</t>
        </is>
      </c>
      <c r="E39" s="3" t="n"/>
      <c r="F39" s="1" t="n">
        <v>45864</v>
      </c>
      <c r="G39" s="4" t="inlineStr">
        <is>
          <t>613.4</t>
        </is>
      </c>
      <c r="H39" s="3" t="inlineStr">
        <is>
          <t>MV</t>
        </is>
      </c>
      <c r="I39" s="4" t="inlineStr">
        <is>
          <t>4649992993280544919</t>
        </is>
      </c>
    </row>
    <row r="40">
      <c r="A40" t="n">
        <v>43</v>
      </c>
      <c r="B40" s="2" t="n">
        <v>45867.4990625</v>
      </c>
      <c r="C40" s="2" t="n">
        <v>45867.49929398148</v>
      </c>
      <c r="D40" s="3" t="inlineStr">
        <is>
          <t>anonymous</t>
        </is>
      </c>
      <c r="E40" s="3" t="n"/>
      <c r="F40" s="1" t="n">
        <v>45867</v>
      </c>
      <c r="G40" s="4" t="inlineStr">
        <is>
          <t>885.00</t>
        </is>
      </c>
      <c r="H40" s="3" t="inlineStr">
        <is>
          <t>MV</t>
        </is>
      </c>
      <c r="I40" s="4" t="inlineStr">
        <is>
          <t>4650084219411544919</t>
        </is>
      </c>
    </row>
    <row r="41">
      <c r="A41" t="n">
        <v>44</v>
      </c>
      <c r="B41" s="2" t="n">
        <v>45867.49975694445</v>
      </c>
      <c r="C41" s="2" t="n">
        <v>45867.50150462963</v>
      </c>
      <c r="D41" s="3" t="inlineStr">
        <is>
          <t>anonymous</t>
        </is>
      </c>
      <c r="E41" s="3" t="n"/>
      <c r="F41" s="1" t="n">
        <v>45867</v>
      </c>
      <c r="G41" s="4" t="inlineStr">
        <is>
          <t>940.00</t>
        </is>
      </c>
      <c r="H41" s="3" t="inlineStr">
        <is>
          <t>MV</t>
        </is>
      </c>
      <c r="I41" s="4" t="inlineStr">
        <is>
          <t>4655745110708544919</t>
        </is>
      </c>
    </row>
    <row r="42">
      <c r="A42" t="n">
        <v>45</v>
      </c>
      <c r="B42" s="2" t="n">
        <v>45870.56888888889</v>
      </c>
      <c r="C42" s="2" t="n">
        <v>45870.57001157408</v>
      </c>
      <c r="D42" s="3" t="inlineStr">
        <is>
          <t>anonymous</t>
        </is>
      </c>
      <c r="E42" s="3" t="n"/>
      <c r="F42" s="1" t="n">
        <v>45870</v>
      </c>
      <c r="G42" s="4" t="inlineStr">
        <is>
          <t>2831</t>
        </is>
      </c>
      <c r="H42" s="3" t="inlineStr">
        <is>
          <t>MV</t>
        </is>
      </c>
      <c r="I42" s="4" t="inlineStr">
        <is>
          <t>4661860394292544919</t>
        </is>
      </c>
    </row>
    <row r="43">
      <c r="A43" t="n">
        <v>46</v>
      </c>
      <c r="B43" s="2" t="n">
        <v>45875.63006944444</v>
      </c>
      <c r="C43" s="2" t="n">
        <v>45875.63026620371</v>
      </c>
      <c r="D43" s="3" t="inlineStr">
        <is>
          <t>anonymous</t>
        </is>
      </c>
      <c r="E43" s="3" t="n"/>
      <c r="F43" s="1" t="n">
        <v>45875</v>
      </c>
      <c r="G43" s="4" t="inlineStr">
        <is>
          <t>-10000</t>
        </is>
      </c>
      <c r="H43" s="3" t="inlineStr">
        <is>
          <t>MV</t>
        </is>
      </c>
      <c r="I43" s="4" t="inlineStr">
        <is>
          <t>Top Up</t>
        </is>
      </c>
    </row>
    <row r="44">
      <c r="A44" t="n">
        <v>47</v>
      </c>
      <c r="B44" s="2" t="n">
        <v>45875.88116898148</v>
      </c>
      <c r="C44" s="2" t="n">
        <v>45875.88201388889</v>
      </c>
      <c r="D44" s="3" t="inlineStr">
        <is>
          <t>anonymous</t>
        </is>
      </c>
      <c r="E44" s="3" t="n"/>
      <c r="F44" s="1" t="n">
        <v>45875</v>
      </c>
      <c r="G44" s="4" t="inlineStr">
        <is>
          <t>4074</t>
        </is>
      </c>
      <c r="H44" s="3" t="inlineStr">
        <is>
          <t>MV</t>
        </is>
      </c>
      <c r="I44" s="4" t="inlineStr">
        <is>
          <t>4670111379063544919</t>
        </is>
      </c>
    </row>
    <row r="45">
      <c r="A45" t="n">
        <v>48</v>
      </c>
      <c r="B45" s="2" t="n">
        <v>45876.52607638889</v>
      </c>
      <c r="C45" s="2" t="n">
        <v>45876.52743055556</v>
      </c>
      <c r="D45" s="3" t="inlineStr">
        <is>
          <t>anonymous</t>
        </is>
      </c>
      <c r="E45" s="3" t="n"/>
      <c r="F45" s="1" t="n">
        <v>45876</v>
      </c>
      <c r="G45" s="4" t="inlineStr">
        <is>
          <t>825.00</t>
        </is>
      </c>
      <c r="H45" s="3" t="inlineStr">
        <is>
          <t>MV</t>
        </is>
      </c>
      <c r="I45" s="4" t="inlineStr">
        <is>
          <t>4667210100322544919</t>
        </is>
      </c>
    </row>
    <row r="46">
      <c r="A46" t="n">
        <v>49</v>
      </c>
      <c r="B46" s="2" t="n">
        <v>45877.65173611111</v>
      </c>
      <c r="C46" s="2" t="n">
        <v>45877.6519675926</v>
      </c>
      <c r="D46" s="3" t="inlineStr">
        <is>
          <t>anonymous</t>
        </is>
      </c>
      <c r="E46" s="3" t="n"/>
      <c r="F46" s="1" t="n">
        <v>45877</v>
      </c>
      <c r="G46" s="4" t="inlineStr">
        <is>
          <t>935.50</t>
        </is>
      </c>
      <c r="H46" s="3" t="inlineStr">
        <is>
          <t>MV</t>
        </is>
      </c>
      <c r="I46" s="4" t="inlineStr">
        <is>
          <t>4673774412124544919</t>
        </is>
      </c>
    </row>
    <row r="47">
      <c r="A47" t="n">
        <v>50</v>
      </c>
      <c r="B47" s="2" t="n">
        <v>45878.56403935186</v>
      </c>
      <c r="C47" s="2" t="n">
        <v>45878.56418981482</v>
      </c>
      <c r="D47" s="3" t="inlineStr">
        <is>
          <t>anonymous</t>
        </is>
      </c>
      <c r="E47" s="3" t="n"/>
      <c r="F47" s="1" t="n">
        <v>45878</v>
      </c>
      <c r="G47" s="4" t="inlineStr">
        <is>
          <t>905</t>
        </is>
      </c>
      <c r="H47" s="3" t="inlineStr">
        <is>
          <t>MV</t>
        </is>
      </c>
      <c r="I47" s="4" t="inlineStr">
        <is>
          <t>4673841519404544919</t>
        </is>
      </c>
    </row>
    <row r="48">
      <c r="A48" t="n">
        <v>51</v>
      </c>
      <c r="B48" s="2" t="n">
        <v>45878.56643518519</v>
      </c>
      <c r="C48" s="2" t="n">
        <v>45878.56662037037</v>
      </c>
      <c r="D48" s="3" t="inlineStr">
        <is>
          <t>anonymous</t>
        </is>
      </c>
      <c r="E48" s="3" t="n"/>
      <c r="F48" s="1" t="n">
        <v>45878</v>
      </c>
      <c r="G48" s="4" t="inlineStr">
        <is>
          <t>523.00</t>
        </is>
      </c>
      <c r="H48" s="3" t="inlineStr">
        <is>
          <t>MV</t>
        </is>
      </c>
      <c r="I48" s="4" t="inlineStr">
        <is>
          <t>4673839935604544919</t>
        </is>
      </c>
    </row>
    <row r="49">
      <c r="A49" t="n">
        <v>52</v>
      </c>
      <c r="B49" s="2" t="n">
        <v>45880.67152777778</v>
      </c>
      <c r="C49" s="2" t="n">
        <v>45880.67166666667</v>
      </c>
      <c r="D49" s="3" t="inlineStr">
        <is>
          <t>anonymous</t>
        </is>
      </c>
      <c r="E49" s="3" t="n"/>
      <c r="F49" s="1" t="n">
        <v>45880</v>
      </c>
      <c r="G49" s="4" t="inlineStr">
        <is>
          <t>1895</t>
        </is>
      </c>
      <c r="H49" s="3" t="inlineStr">
        <is>
          <t>MV</t>
        </is>
      </c>
      <c r="I49" s="4" t="inlineStr">
        <is>
          <t>4678925869067098044</t>
        </is>
      </c>
    </row>
    <row r="50">
      <c r="A50" t="n">
        <v>53</v>
      </c>
      <c r="B50" s="2" t="n">
        <v>45883.63377314815</v>
      </c>
      <c r="C50" s="2" t="n">
        <v>45883.6340162037</v>
      </c>
      <c r="D50" s="3" t="inlineStr">
        <is>
          <t>anonymous</t>
        </is>
      </c>
      <c r="E50" s="3" t="n"/>
      <c r="F50" s="1" t="n">
        <v>45883</v>
      </c>
      <c r="G50" s="4" t="inlineStr">
        <is>
          <t>-10000</t>
        </is>
      </c>
      <c r="H50" s="3" t="inlineStr">
        <is>
          <t>MV</t>
        </is>
      </c>
      <c r="I50" s="4" t="inlineStr">
        <is>
          <t>TOP UP</t>
        </is>
      </c>
    </row>
    <row r="51">
      <c r="A51" t="n">
        <v>54</v>
      </c>
      <c r="B51" s="2" t="n">
        <v>45884.57924768519</v>
      </c>
      <c r="C51" s="2" t="n">
        <v>45884.57936342592</v>
      </c>
      <c r="D51" s="3" t="inlineStr">
        <is>
          <t>anonymous</t>
        </is>
      </c>
      <c r="E51" s="3" t="n"/>
      <c r="F51" s="1" t="n">
        <v>45884</v>
      </c>
      <c r="G51" s="4" t="inlineStr">
        <is>
          <t>4145</t>
        </is>
      </c>
      <c r="H51" s="3" t="inlineStr">
        <is>
          <t>MV</t>
        </is>
      </c>
      <c r="I51" s="4" t="inlineStr">
        <is>
          <t>4685104332524544919</t>
        </is>
      </c>
    </row>
    <row r="52">
      <c r="A52" t="n">
        <v>55</v>
      </c>
      <c r="B52" s="2" t="n">
        <v>45886.82622685185</v>
      </c>
      <c r="C52" s="2" t="n">
        <v>45886.82638888889</v>
      </c>
      <c r="D52" s="3" t="inlineStr">
        <is>
          <t>anonymous</t>
        </is>
      </c>
      <c r="E52" s="3" t="n"/>
      <c r="F52" s="1" t="n">
        <v>45886</v>
      </c>
      <c r="G52" s="4" t="inlineStr">
        <is>
          <t>540.00</t>
        </is>
      </c>
      <c r="H52" s="3" t="inlineStr">
        <is>
          <t>MV</t>
        </is>
      </c>
      <c r="I52" s="4" t="inlineStr">
        <is>
          <t>4685031686135544919</t>
        </is>
      </c>
    </row>
    <row r="53">
      <c r="A53" t="n">
        <v>56</v>
      </c>
      <c r="B53" s="2" t="n">
        <v>45888.88148148148</v>
      </c>
      <c r="C53" s="2" t="n">
        <v>45888.88163194444</v>
      </c>
      <c r="D53" s="3" t="inlineStr">
        <is>
          <t>anonymous</t>
        </is>
      </c>
      <c r="E53" s="3" t="n"/>
      <c r="F53" s="1" t="n">
        <v>45888</v>
      </c>
      <c r="G53" s="4" t="inlineStr">
        <is>
          <t>1030</t>
        </is>
      </c>
      <c r="H53" s="3" t="inlineStr">
        <is>
          <t>MV</t>
        </is>
      </c>
      <c r="I53" s="4" t="inlineStr">
        <is>
          <t>4685192028866544919</t>
        </is>
      </c>
    </row>
    <row r="54">
      <c r="A54" t="n">
        <v>57</v>
      </c>
      <c r="B54" s="2" t="n">
        <v>45888.88721064815</v>
      </c>
      <c r="C54" s="2" t="n">
        <v>45888.88809027777</v>
      </c>
      <c r="D54" s="3" t="inlineStr">
        <is>
          <t>anonymous</t>
        </is>
      </c>
      <c r="E54" s="3" t="n"/>
      <c r="F54" s="1" t="n">
        <v>45888</v>
      </c>
      <c r="G54" s="4" t="inlineStr">
        <is>
          <t>1020</t>
        </is>
      </c>
      <c r="H54" s="3" t="inlineStr">
        <is>
          <t>MV</t>
        </is>
      </c>
      <c r="I54" s="4" t="inlineStr">
        <is>
          <t>4685029670500544919</t>
        </is>
      </c>
    </row>
    <row r="55">
      <c r="A55" t="n">
        <v>58</v>
      </c>
      <c r="B55" s="2" t="n">
        <v>45888.88827546296</v>
      </c>
      <c r="C55" s="2" t="n">
        <v>45888.88837962963</v>
      </c>
      <c r="D55" s="3" t="inlineStr">
        <is>
          <t>anonymous</t>
        </is>
      </c>
      <c r="E55" s="3" t="n"/>
      <c r="F55" s="1" t="n">
        <v>45888</v>
      </c>
      <c r="G55" s="4" t="inlineStr">
        <is>
          <t>666</t>
        </is>
      </c>
      <c r="H55" s="3" t="inlineStr">
        <is>
          <t>MV</t>
        </is>
      </c>
      <c r="I55" s="4" t="inlineStr">
        <is>
          <t>4685159991595544919</t>
        </is>
      </c>
    </row>
    <row r="56">
      <c r="A56" t="n">
        <v>59</v>
      </c>
      <c r="B56" s="2" t="n">
        <v>45892.5120949074</v>
      </c>
      <c r="C56" s="2" t="n">
        <v>45892.51226851852</v>
      </c>
      <c r="D56" s="3" t="inlineStr">
        <is>
          <t>anonymous</t>
        </is>
      </c>
      <c r="E56" s="3" t="n"/>
      <c r="F56" s="1" t="n">
        <v>45892</v>
      </c>
      <c r="G56" s="4" t="inlineStr">
        <is>
          <t>21.2</t>
        </is>
      </c>
      <c r="H56" s="3" t="inlineStr">
        <is>
          <t>YEONG</t>
        </is>
      </c>
      <c r="I56" s="4" t="inlineStr">
        <is>
          <t>Food</t>
        </is>
      </c>
    </row>
    <row r="57">
      <c r="A57" t="n">
        <v>60</v>
      </c>
      <c r="B57" s="2" t="n">
        <v>45894.62946759259</v>
      </c>
      <c r="C57" s="2" t="n">
        <v>45894.62969907407</v>
      </c>
      <c r="D57" s="3" t="inlineStr">
        <is>
          <t>anonymous</t>
        </is>
      </c>
      <c r="E57" s="3" t="n"/>
      <c r="F57" s="1" t="n">
        <v>45894</v>
      </c>
      <c r="G57" s="4" t="inlineStr">
        <is>
          <t>433.00</t>
        </is>
      </c>
      <c r="H57" s="3" t="inlineStr">
        <is>
          <t>MV</t>
        </is>
      </c>
      <c r="I57" s="4" t="inlineStr">
        <is>
          <t>4702097521439544919</t>
        </is>
      </c>
    </row>
    <row r="58">
      <c r="A58" t="n">
        <v>61</v>
      </c>
      <c r="B58" s="2" t="n">
        <v>45894.65623842592</v>
      </c>
      <c r="C58" s="2" t="n">
        <v>45894.65638888889</v>
      </c>
      <c r="D58" s="3" t="inlineStr">
        <is>
          <t>anonymous</t>
        </is>
      </c>
      <c r="E58" s="3" t="n"/>
      <c r="F58" s="1" t="n">
        <v>45894</v>
      </c>
      <c r="G58" s="4" t="inlineStr">
        <is>
          <t>-10000</t>
        </is>
      </c>
      <c r="H58" s="3" t="inlineStr">
        <is>
          <t>MV</t>
        </is>
      </c>
      <c r="I58" s="4" t="inlineStr">
        <is>
          <t>TOP UP</t>
        </is>
      </c>
    </row>
    <row r="59">
      <c r="A59" t="n">
        <v>62</v>
      </c>
      <c r="B59" s="2" t="n">
        <v>45896.60223379629</v>
      </c>
      <c r="C59" s="2" t="n">
        <v>45896.60552083333</v>
      </c>
      <c r="D59" s="3" t="inlineStr">
        <is>
          <t>anonymous</t>
        </is>
      </c>
      <c r="E59" s="3" t="n"/>
      <c r="F59" s="1" t="n">
        <v>45896</v>
      </c>
      <c r="G59" s="4" t="inlineStr">
        <is>
          <t>2324.82</t>
        </is>
      </c>
      <c r="H59" s="3" t="inlineStr">
        <is>
          <t>MV</t>
        </is>
      </c>
      <c r="I59" s="4" t="inlineStr">
        <is>
          <t>XH20250826020</t>
        </is>
      </c>
    </row>
    <row r="60">
      <c r="A60" t="n">
        <v>63</v>
      </c>
      <c r="B60" s="2" t="n">
        <v>45896.79060185186</v>
      </c>
      <c r="C60" s="2" t="n">
        <v>45896.79616898148</v>
      </c>
      <c r="D60" s="3" t="inlineStr">
        <is>
          <t>anonymous</t>
        </is>
      </c>
      <c r="E60" s="3" t="n"/>
      <c r="F60" s="1" t="n">
        <v>45896</v>
      </c>
      <c r="G60" s="4" t="inlineStr">
        <is>
          <t>253</t>
        </is>
      </c>
      <c r="H60" s="3" t="inlineStr">
        <is>
          <t>MV</t>
        </is>
      </c>
      <c r="I60" s="4" t="inlineStr">
        <is>
          <t>Shipment for XH20250826020 and XH20250612007</t>
        </is>
      </c>
    </row>
    <row r="61">
      <c r="A61" t="n">
        <v>64</v>
      </c>
      <c r="B61" s="2" t="n">
        <v>45897.44641203704</v>
      </c>
      <c r="C61" s="2" t="n">
        <v>45897.44743055556</v>
      </c>
      <c r="D61" s="3" t="inlineStr">
        <is>
          <t>anonymous</t>
        </is>
      </c>
      <c r="E61" s="3" t="n"/>
      <c r="F61" s="1" t="n">
        <v>45897</v>
      </c>
      <c r="G61" s="4" t="inlineStr">
        <is>
          <t>1000.00</t>
        </is>
      </c>
      <c r="H61" s="3" t="inlineStr">
        <is>
          <t>MV</t>
        </is>
      </c>
      <c r="I61" s="4" t="inlineStr">
        <is>
          <t>4706047551224544919</t>
        </is>
      </c>
    </row>
    <row r="62">
      <c r="A62" t="n">
        <v>65</v>
      </c>
      <c r="B62" s="2" t="n">
        <v>45897.44787037037</v>
      </c>
      <c r="C62" s="2" t="n">
        <v>45897.44797453703</v>
      </c>
      <c r="D62" s="3" t="inlineStr">
        <is>
          <t>anonymous</t>
        </is>
      </c>
      <c r="E62" s="3" t="n"/>
      <c r="F62" s="1" t="n">
        <v>45897</v>
      </c>
      <c r="G62" s="4" t="inlineStr">
        <is>
          <t>750.00</t>
        </is>
      </c>
      <c r="H62" s="3" t="inlineStr">
        <is>
          <t>MV</t>
        </is>
      </c>
      <c r="I62" s="4" t="inlineStr">
        <is>
          <t>4705970905315544919</t>
        </is>
      </c>
    </row>
    <row r="63">
      <c r="A63" t="n">
        <v>66</v>
      </c>
      <c r="B63" s="2" t="n">
        <v>45897.46119212963</v>
      </c>
      <c r="C63" s="2" t="n">
        <v>45897.46137731482</v>
      </c>
      <c r="D63" s="3" t="inlineStr">
        <is>
          <t>anonymous</t>
        </is>
      </c>
      <c r="E63" s="3" t="n"/>
      <c r="F63" s="1" t="n">
        <v>45897</v>
      </c>
      <c r="G63" s="4" t="inlineStr">
        <is>
          <t>855.00</t>
        </is>
      </c>
      <c r="H63" s="3" t="inlineStr">
        <is>
          <t>MV</t>
        </is>
      </c>
      <c r="I63" s="4" t="inlineStr">
        <is>
          <t>4706113068275544919</t>
        </is>
      </c>
    </row>
    <row r="64">
      <c r="A64" t="n">
        <v>67</v>
      </c>
      <c r="B64" s="2" t="n">
        <v>45898.65680555555</v>
      </c>
      <c r="C64" s="2" t="n">
        <v>45898.65696759259</v>
      </c>
      <c r="D64" s="3" t="inlineStr">
        <is>
          <t>anonymous</t>
        </is>
      </c>
      <c r="E64" s="3" t="n"/>
      <c r="F64" s="1" t="n">
        <v>45898</v>
      </c>
      <c r="G64" s="4" t="inlineStr">
        <is>
          <t>96</t>
        </is>
      </c>
      <c r="H64" s="3" t="inlineStr">
        <is>
          <t>YEONG</t>
        </is>
      </c>
      <c r="I64" s="4" t="inlineStr">
        <is>
          <t>Flower</t>
        </is>
      </c>
    </row>
    <row r="65">
      <c r="A65" t="n">
        <v>68</v>
      </c>
      <c r="B65" s="2" t="n">
        <v>45899.46670138889</v>
      </c>
      <c r="C65" s="2" t="n">
        <v>45899.46685185185</v>
      </c>
      <c r="D65" s="3" t="inlineStr">
        <is>
          <t>anonymous</t>
        </is>
      </c>
      <c r="E65" s="3" t="n"/>
      <c r="F65" s="1" t="n">
        <v>45899</v>
      </c>
      <c r="G65" s="4" t="inlineStr">
        <is>
          <t>46</t>
        </is>
      </c>
      <c r="H65" s="3" t="inlineStr">
        <is>
          <t>YEONG</t>
        </is>
      </c>
      <c r="I65" s="4" t="inlineStr">
        <is>
          <t>flower</t>
        </is>
      </c>
    </row>
    <row r="66">
      <c r="A66" t="n">
        <v>69</v>
      </c>
      <c r="B66" s="2" t="n">
        <v>45899.78091435185</v>
      </c>
      <c r="C66" s="2" t="n">
        <v>45899.78107638889</v>
      </c>
      <c r="D66" s="3" t="inlineStr">
        <is>
          <t>anonymous</t>
        </is>
      </c>
      <c r="E66" s="3" t="n"/>
      <c r="F66" s="1" t="n">
        <v>45899</v>
      </c>
      <c r="G66" s="4" t="inlineStr">
        <is>
          <t>7050.00</t>
        </is>
      </c>
      <c r="H66" s="3" t="inlineStr">
        <is>
          <t>MV</t>
        </is>
      </c>
      <c r="I66" s="4" t="inlineStr">
        <is>
          <t>4710610514950544919</t>
        </is>
      </c>
    </row>
    <row r="67">
      <c r="A67" t="n">
        <v>70</v>
      </c>
      <c r="B67" s="2" t="n">
        <v>45902.86265046296</v>
      </c>
      <c r="C67" s="2" t="n">
        <v>45902.86283564815</v>
      </c>
      <c r="D67" s="3" t="inlineStr">
        <is>
          <t>anonymous</t>
        </is>
      </c>
      <c r="E67" s="3" t="n"/>
      <c r="F67" s="1" t="n">
        <v>45902</v>
      </c>
      <c r="G67" s="4" t="inlineStr">
        <is>
          <t>-10000</t>
        </is>
      </c>
      <c r="H67" s="3" t="inlineStr">
        <is>
          <t>MV</t>
        </is>
      </c>
      <c r="I67" s="4" t="inlineStr">
        <is>
          <t>Top up</t>
        </is>
      </c>
    </row>
    <row r="68">
      <c r="A68" t="n">
        <v>71</v>
      </c>
      <c r="B68" s="2" t="n">
        <v>45903.67054398148</v>
      </c>
      <c r="C68" s="2" t="n">
        <v>45903.67071759259</v>
      </c>
      <c r="D68" s="3" t="inlineStr">
        <is>
          <t>anonymous</t>
        </is>
      </c>
      <c r="E68" s="3" t="n"/>
      <c r="F68" s="1" t="n">
        <v>45903</v>
      </c>
      <c r="G68" s="4" t="inlineStr">
        <is>
          <t>3608.00</t>
        </is>
      </c>
      <c r="H68" s="3" t="inlineStr">
        <is>
          <t>MV</t>
        </is>
      </c>
      <c r="I68" s="4" t="inlineStr">
        <is>
          <t>4717546814126544919</t>
        </is>
      </c>
    </row>
    <row r="69">
      <c r="A69" t="n">
        <v>72</v>
      </c>
      <c r="B69" s="2" t="n">
        <v>45904.96822916667</v>
      </c>
      <c r="C69" s="2" t="n">
        <v>45904.96844907408</v>
      </c>
      <c r="D69" s="3" t="inlineStr">
        <is>
          <t>anonymous</t>
        </is>
      </c>
      <c r="E69" s="3" t="n"/>
      <c r="F69" s="1" t="n">
        <v>45904</v>
      </c>
      <c r="G69" s="4" t="inlineStr">
        <is>
          <t>18.1</t>
        </is>
      </c>
      <c r="H69" s="3" t="inlineStr">
        <is>
          <t>YEONG</t>
        </is>
      </c>
      <c r="I69" s="4" t="inlineStr">
        <is>
          <t>Purchase on taobao</t>
        </is>
      </c>
    </row>
    <row r="70">
      <c r="A70" t="n">
        <v>73</v>
      </c>
      <c r="B70" s="2" t="n">
        <v>45905.51640046296</v>
      </c>
      <c r="C70" s="2" t="n">
        <v>45905.5165625</v>
      </c>
      <c r="D70" s="3" t="inlineStr">
        <is>
          <t>anonymous</t>
        </is>
      </c>
      <c r="E70" s="3" t="n"/>
      <c r="F70" s="1" t="n">
        <v>45905</v>
      </c>
      <c r="G70" s="4" t="inlineStr">
        <is>
          <t>543.00</t>
        </is>
      </c>
      <c r="H70" s="3" t="inlineStr">
        <is>
          <t>MV</t>
        </is>
      </c>
      <c r="I70" s="4" t="inlineStr">
        <is>
          <t>4717812024350544919</t>
        </is>
      </c>
    </row>
    <row r="71">
      <c r="A71" t="n">
        <v>74</v>
      </c>
      <c r="B71" s="2" t="n">
        <v>45905.51659722222</v>
      </c>
      <c r="C71" s="2" t="n">
        <v>45905.51721064815</v>
      </c>
      <c r="D71" s="3" t="inlineStr">
        <is>
          <t>anonymous</t>
        </is>
      </c>
      <c r="E71" s="3" t="n"/>
      <c r="F71" s="1" t="n">
        <v>45905</v>
      </c>
      <c r="G71" s="4" t="inlineStr">
        <is>
          <t>1050.00</t>
        </is>
      </c>
      <c r="H71" s="3" t="inlineStr">
        <is>
          <t>MV</t>
        </is>
      </c>
      <c r="I71" s="4" t="inlineStr">
        <is>
          <t>4717535762493544919</t>
        </is>
      </c>
    </row>
    <row r="72">
      <c r="A72" t="n">
        <v>75</v>
      </c>
      <c r="B72" s="2" t="n">
        <v>45905.52594907407</v>
      </c>
      <c r="C72" s="2" t="n">
        <v>45905.52625</v>
      </c>
      <c r="D72" s="3" t="inlineStr">
        <is>
          <t>anonymous</t>
        </is>
      </c>
      <c r="E72" s="3" t="n"/>
      <c r="F72" s="1" t="n">
        <v>45905</v>
      </c>
      <c r="G72" s="4" t="inlineStr">
        <is>
          <t>311.00</t>
        </is>
      </c>
      <c r="H72" s="3" t="inlineStr">
        <is>
          <t>MV</t>
        </is>
      </c>
      <c r="I72" s="4" t="inlineStr">
        <is>
          <t>4717536842272544919</t>
        </is>
      </c>
    </row>
    <row r="73">
      <c r="A73" t="n">
        <v>76</v>
      </c>
      <c r="B73" s="2" t="n">
        <v>45910.80657407407</v>
      </c>
      <c r="C73" s="2" t="n">
        <v>45910.80681712963</v>
      </c>
      <c r="D73" s="3" t="inlineStr">
        <is>
          <t>anonymous</t>
        </is>
      </c>
      <c r="E73" s="3" t="n"/>
      <c r="F73" s="1" t="n">
        <v>45910</v>
      </c>
      <c r="G73" s="4" t="inlineStr">
        <is>
          <t>719.00</t>
        </is>
      </c>
      <c r="H73" s="3" t="inlineStr">
        <is>
          <t>MV</t>
        </is>
      </c>
      <c r="I73" s="4" t="inlineStr">
        <is>
          <t>4732995169174544919</t>
        </is>
      </c>
    </row>
    <row r="74">
      <c r="A74" t="n">
        <v>77</v>
      </c>
      <c r="B74" s="2" t="n">
        <v>45910.80692129629</v>
      </c>
      <c r="C74" s="2" t="n">
        <v>45910.80732638889</v>
      </c>
      <c r="D74" s="3" t="inlineStr">
        <is>
          <t>anonymous</t>
        </is>
      </c>
      <c r="E74" s="3" t="n"/>
      <c r="F74" s="1" t="n">
        <v>45910</v>
      </c>
      <c r="G74" s="4" t="inlineStr">
        <is>
          <t>1040.00</t>
        </is>
      </c>
      <c r="H74" s="3" t="inlineStr">
        <is>
          <t>MV</t>
        </is>
      </c>
      <c r="I74" s="4" t="inlineStr">
        <is>
          <t>4733080740873544919</t>
        </is>
      </c>
    </row>
    <row r="75">
      <c r="A75" t="n">
        <v>78</v>
      </c>
      <c r="B75" s="2" t="n">
        <v>45912.62809027778</v>
      </c>
      <c r="C75" s="2" t="n">
        <v>45912.62825231482</v>
      </c>
      <c r="D75" s="3" t="inlineStr">
        <is>
          <t>anonymous</t>
        </is>
      </c>
      <c r="E75" s="3" t="n"/>
      <c r="F75" s="1" t="n">
        <v>45912</v>
      </c>
      <c r="G75" s="4" t="inlineStr">
        <is>
          <t>250</t>
        </is>
      </c>
      <c r="H75" s="3" t="inlineStr">
        <is>
          <t>MV</t>
        </is>
      </c>
      <c r="I75" s="4" t="inlineStr">
        <is>
          <t>4717427905202544919</t>
        </is>
      </c>
    </row>
    <row r="76">
      <c r="A76" t="n">
        <v>79</v>
      </c>
      <c r="B76" s="2" t="n">
        <v>45912.62858796296</v>
      </c>
      <c r="C76" s="2" t="n">
        <v>45912.62868055556</v>
      </c>
      <c r="D76" s="3" t="inlineStr">
        <is>
          <t>anonymous</t>
        </is>
      </c>
      <c r="E76" s="3" t="n"/>
      <c r="F76" s="1" t="n">
        <v>45912</v>
      </c>
      <c r="G76" s="4" t="inlineStr">
        <is>
          <t>878.63</t>
        </is>
      </c>
      <c r="H76" s="3" t="inlineStr">
        <is>
          <t>MV</t>
        </is>
      </c>
      <c r="I76" s="4" t="inlineStr">
        <is>
          <t>4737596042338544919</t>
        </is>
      </c>
    </row>
    <row r="77">
      <c r="A77" t="n">
        <v>80</v>
      </c>
      <c r="B77" s="2" t="n">
        <v>45919.48491898148</v>
      </c>
      <c r="C77" s="2" t="n">
        <v>45919.48508101852</v>
      </c>
      <c r="D77" s="3" t="inlineStr">
        <is>
          <t>anonymous</t>
        </is>
      </c>
      <c r="E77" s="3" t="n"/>
      <c r="F77" s="1" t="n">
        <v>45919</v>
      </c>
      <c r="G77" s="4" t="inlineStr">
        <is>
          <t>940</t>
        </is>
      </c>
      <c r="H77" s="3" t="inlineStr">
        <is>
          <t>MV</t>
        </is>
      </c>
      <c r="I77" s="4" t="inlineStr">
        <is>
          <t>4753770481403544919</t>
        </is>
      </c>
    </row>
    <row r="78">
      <c r="A78" t="n">
        <v>81</v>
      </c>
      <c r="B78" s="2" t="n">
        <v>45922.49846064814</v>
      </c>
      <c r="C78" s="2" t="n">
        <v>45922.49856481481</v>
      </c>
      <c r="D78" s="3" t="inlineStr">
        <is>
          <t>anonymous</t>
        </is>
      </c>
      <c r="E78" s="3" t="n"/>
      <c r="F78" s="1" t="n">
        <v>45922</v>
      </c>
      <c r="G78" s="4" t="inlineStr">
        <is>
          <t>743.00</t>
        </is>
      </c>
      <c r="H78" s="3" t="inlineStr">
        <is>
          <t>MV</t>
        </is>
      </c>
      <c r="I78" s="4" t="inlineStr">
        <is>
          <t>4761042048793544919</t>
        </is>
      </c>
    </row>
    <row r="79">
      <c r="A79" t="n">
        <v>82</v>
      </c>
      <c r="B79" s="2" t="n">
        <v>45924.51408564814</v>
      </c>
      <c r="C79" s="2" t="n">
        <v>45924.51479166667</v>
      </c>
      <c r="D79" s="3" t="inlineStr">
        <is>
          <t>anonymous</t>
        </is>
      </c>
      <c r="E79" s="3" t="n"/>
      <c r="F79" s="1" t="n">
        <v>45924</v>
      </c>
      <c r="G79" s="4" t="inlineStr">
        <is>
          <t>1206</t>
        </is>
      </c>
      <c r="H79" s="3" t="inlineStr">
        <is>
          <t>MV</t>
        </is>
      </c>
      <c r="I79" s="4" t="inlineStr">
        <is>
          <t>4763599419113098044</t>
        </is>
      </c>
    </row>
    <row r="80">
      <c r="A80" t="n">
        <v>83</v>
      </c>
      <c r="B80" s="2" t="n">
        <v>45925.42753472222</v>
      </c>
      <c r="C80" s="2" t="n">
        <v>45925.42769675926</v>
      </c>
      <c r="D80" s="3" t="inlineStr">
        <is>
          <t>anonymous</t>
        </is>
      </c>
      <c r="E80" s="3" t="n"/>
      <c r="F80" s="1" t="n">
        <v>45925</v>
      </c>
      <c r="G80" s="4" t="inlineStr">
        <is>
          <t>-10000</t>
        </is>
      </c>
      <c r="H80" s="3" t="inlineStr">
        <is>
          <t>MV</t>
        </is>
      </c>
      <c r="I80" s="4" t="inlineStr">
        <is>
          <t>Top up</t>
        </is>
      </c>
    </row>
    <row r="81">
      <c r="A81" t="n">
        <v>84</v>
      </c>
      <c r="B81" s="2" t="n">
        <v>45925.55875</v>
      </c>
      <c r="C81" s="2" t="n">
        <v>45925.5590162037</v>
      </c>
      <c r="D81" s="3" t="inlineStr">
        <is>
          <t>anonymous</t>
        </is>
      </c>
      <c r="E81" s="3" t="n"/>
      <c r="F81" s="1" t="n">
        <v>45925</v>
      </c>
      <c r="G81" s="4" t="inlineStr">
        <is>
          <t>447</t>
        </is>
      </c>
      <c r="H81" s="3" t="inlineStr">
        <is>
          <t>MV</t>
        </is>
      </c>
      <c r="I81" s="4" t="inlineStr">
        <is>
          <t>4767674006862544919</t>
        </is>
      </c>
    </row>
    <row r="82">
      <c r="A82" t="n">
        <v>85</v>
      </c>
      <c r="B82" s="2" t="n">
        <v>45925.61450231481</v>
      </c>
      <c r="C82" s="2" t="n">
        <v>45925.61494212963</v>
      </c>
      <c r="D82" s="3" t="inlineStr">
        <is>
          <t>anonymous</t>
        </is>
      </c>
      <c r="E82" s="3" t="n"/>
      <c r="F82" s="1" t="n">
        <v>45925</v>
      </c>
      <c r="G82" s="4" t="inlineStr">
        <is>
          <t>4220</t>
        </is>
      </c>
      <c r="H82" s="3" t="inlineStr">
        <is>
          <t>MV</t>
        </is>
      </c>
      <c r="I82" s="4" t="inlineStr">
        <is>
          <t>4767794498669544919</t>
        </is>
      </c>
    </row>
    <row r="83">
      <c r="A83" t="n">
        <v>86</v>
      </c>
      <c r="B83" s="2" t="n">
        <v>45940.4800462963</v>
      </c>
      <c r="C83" s="2" t="n">
        <v>45940.48028935185</v>
      </c>
      <c r="D83" s="3" t="inlineStr">
        <is>
          <t>anonymous</t>
        </is>
      </c>
      <c r="E83" s="3" t="n"/>
      <c r="F83" s="1" t="n">
        <v>45940</v>
      </c>
      <c r="G83" s="4" t="inlineStr">
        <is>
          <t>3000</t>
        </is>
      </c>
      <c r="H83" s="3" t="inlineStr">
        <is>
          <t>MV</t>
        </is>
      </c>
      <c r="I83" s="4" t="inlineStr">
        <is>
          <t>XH20250929007</t>
        </is>
      </c>
    </row>
    <row r="84">
      <c r="A84" t="n">
        <v>87</v>
      </c>
      <c r="B84" s="2" t="n">
        <v>45940.72003472222</v>
      </c>
      <c r="C84" s="2" t="n">
        <v>45940.72016203704</v>
      </c>
      <c r="D84" s="3" t="inlineStr">
        <is>
          <t>anonymous</t>
        </is>
      </c>
      <c r="E84" s="3" t="n"/>
      <c r="F84" s="1" t="n">
        <v>45940</v>
      </c>
      <c r="G84" s="4" t="inlineStr">
        <is>
          <t>-10000</t>
        </is>
      </c>
      <c r="H84" s="3" t="inlineStr">
        <is>
          <t>MV</t>
        </is>
      </c>
      <c r="I84" s="4" t="inlineStr">
        <is>
          <t>Top Up</t>
        </is>
      </c>
    </row>
    <row r="85">
      <c r="A85" t="n">
        <v>88</v>
      </c>
      <c r="B85" s="2" t="n">
        <v>45942.59603009259</v>
      </c>
      <c r="C85" s="2" t="n">
        <v>45942.59966435185</v>
      </c>
      <c r="D85" s="3" t="inlineStr">
        <is>
          <t>anonymous</t>
        </is>
      </c>
      <c r="E85" s="3" t="n"/>
      <c r="F85" s="1" t="n">
        <v>45942</v>
      </c>
      <c r="G85" s="4" t="inlineStr">
        <is>
          <t>880.00</t>
        </is>
      </c>
      <c r="H85" s="3" t="inlineStr">
        <is>
          <t>MV</t>
        </is>
      </c>
      <c r="I85" s="4" t="inlineStr">
        <is>
          <t>4803250321950544919</t>
        </is>
      </c>
    </row>
    <row r="86">
      <c r="A86" t="n">
        <v>89</v>
      </c>
      <c r="B86" s="2" t="n">
        <v>45943.52708333333</v>
      </c>
      <c r="C86" s="2" t="n">
        <v>45943.52804398148</v>
      </c>
      <c r="D86" s="3" t="inlineStr">
        <is>
          <t>anonymous</t>
        </is>
      </c>
      <c r="E86" s="3" t="n"/>
      <c r="F86" s="1" t="n">
        <v>45943</v>
      </c>
      <c r="G86" s="4" t="inlineStr">
        <is>
          <t>2900</t>
        </is>
      </c>
      <c r="H86" s="3" t="inlineStr">
        <is>
          <t>MV</t>
        </is>
      </c>
      <c r="I86" s="4" t="inlineStr">
        <is>
          <t>4805266213289544919</t>
        </is>
      </c>
    </row>
    <row r="87">
      <c r="A87" t="n">
        <v>90</v>
      </c>
      <c r="B87" s="2" t="n">
        <v>45943.59746527778</v>
      </c>
      <c r="C87" s="2" t="n">
        <v>45943.59760416667</v>
      </c>
      <c r="D87" s="3" t="inlineStr">
        <is>
          <t>anonymous</t>
        </is>
      </c>
      <c r="E87" s="3" t="n"/>
      <c r="F87" s="1" t="n">
        <v>45943</v>
      </c>
      <c r="G87" s="4" t="n">
        <v>1894.9</v>
      </c>
      <c r="H87" s="3" t="inlineStr">
        <is>
          <t>MV</t>
        </is>
      </c>
      <c r="I87" s="4" t="inlineStr">
        <is>
          <t>4805090462544098044</t>
        </is>
      </c>
    </row>
    <row r="88">
      <c r="A88" t="n">
        <v>91</v>
      </c>
      <c r="B88" s="2" t="n">
        <v>45944.65008101852</v>
      </c>
      <c r="C88" s="2" t="n">
        <v>45944.65054398148</v>
      </c>
      <c r="D88" s="3" t="inlineStr">
        <is>
          <t>anonymous</t>
        </is>
      </c>
      <c r="E88" s="3" t="n"/>
      <c r="F88" s="1" t="n">
        <v>45944</v>
      </c>
      <c r="G88" s="4" t="inlineStr">
        <is>
          <t>860</t>
        </is>
      </c>
      <c r="H88" s="3" t="inlineStr">
        <is>
          <t>MV</t>
        </is>
      </c>
      <c r="I88" s="4" t="inlineStr">
        <is>
          <t>4803394320238544919</t>
        </is>
      </c>
    </row>
    <row r="89">
      <c r="A89" t="n">
        <v>92</v>
      </c>
      <c r="B89" s="2" t="n">
        <v>45944.75297453703</v>
      </c>
      <c r="C89" s="2" t="n">
        <v>45944.75427083333</v>
      </c>
      <c r="D89" s="3" t="inlineStr">
        <is>
          <t>anonymous</t>
        </is>
      </c>
      <c r="E89" s="3" t="n"/>
      <c r="F89" s="1" t="n">
        <v>45944</v>
      </c>
      <c r="G89" s="4" t="inlineStr">
        <is>
          <t>1040.00</t>
        </is>
      </c>
      <c r="H89" s="3" t="inlineStr">
        <is>
          <t>MV</t>
        </is>
      </c>
      <c r="I89" s="4" t="inlineStr">
        <is>
          <t>4803389316882544919</t>
        </is>
      </c>
    </row>
    <row r="90">
      <c r="A90" t="n">
        <v>93</v>
      </c>
      <c r="B90" s="2" t="n">
        <v>45945.43078703704</v>
      </c>
      <c r="C90" s="2" t="n">
        <v>45945.43105324074</v>
      </c>
      <c r="D90" s="3" t="inlineStr">
        <is>
          <t>anonymous</t>
        </is>
      </c>
      <c r="E90" s="3" t="n"/>
      <c r="F90" s="1" t="n">
        <v>45945</v>
      </c>
      <c r="G90" s="4" t="inlineStr">
        <is>
          <t>3252.90</t>
        </is>
      </c>
      <c r="H90" s="3" t="inlineStr">
        <is>
          <t>MV</t>
        </is>
      </c>
      <c r="I90" s="4" t="inlineStr">
        <is>
          <t>XH20251015002</t>
        </is>
      </c>
    </row>
    <row r="91">
      <c r="A91" t="n">
        <v>94</v>
      </c>
      <c r="B91" s="2" t="n">
        <v>45946.41565972222</v>
      </c>
      <c r="C91" s="2" t="n">
        <v>45946.41607638889</v>
      </c>
      <c r="D91" s="3" t="inlineStr">
        <is>
          <t>anonymous</t>
        </is>
      </c>
      <c r="E91" s="3" t="n"/>
      <c r="F91" s="1" t="n">
        <v>45946</v>
      </c>
      <c r="G91" s="4" t="inlineStr">
        <is>
          <t>14.25</t>
        </is>
      </c>
      <c r="H91" s="3" t="inlineStr">
        <is>
          <t>YEONG</t>
        </is>
      </c>
      <c r="I91" s="4" t="inlineStr">
        <is>
          <t>Food</t>
        </is>
      </c>
    </row>
    <row r="92">
      <c r="A92" t="n">
        <v>95</v>
      </c>
      <c r="B92" s="2" t="n">
        <v>45946.45023148148</v>
      </c>
      <c r="C92" s="2" t="n">
        <v>45946.45069444444</v>
      </c>
      <c r="D92" s="3" t="inlineStr">
        <is>
          <t>anonymous</t>
        </is>
      </c>
      <c r="E92" s="3" t="n"/>
      <c r="F92" s="1" t="n">
        <v>45946</v>
      </c>
      <c r="G92" s="4" t="inlineStr">
        <is>
          <t>-10000</t>
        </is>
      </c>
      <c r="H92" s="3" t="inlineStr">
        <is>
          <t>MV</t>
        </is>
      </c>
      <c r="I92" s="4" t="inlineStr">
        <is>
          <t>Top up</t>
        </is>
      </c>
    </row>
    <row r="93">
      <c r="A93" t="n">
        <v>96</v>
      </c>
      <c r="B93" s="2" t="n">
        <v>45946.6721412037</v>
      </c>
      <c r="C93" s="2" t="n">
        <v>45946.67228009259</v>
      </c>
      <c r="D93" s="3" t="inlineStr">
        <is>
          <t>anonymous</t>
        </is>
      </c>
      <c r="E93" s="3" t="n"/>
      <c r="F93" s="1" t="n">
        <v>45946</v>
      </c>
      <c r="G93" s="4" t="inlineStr">
        <is>
          <t>5054.20</t>
        </is>
      </c>
      <c r="H93" s="3" t="inlineStr">
        <is>
          <t>MV</t>
        </is>
      </c>
      <c r="I93" s="4" t="inlineStr">
        <is>
          <t>4811782755428544919</t>
        </is>
      </c>
    </row>
    <row r="94">
      <c r="A94" t="n">
        <v>97</v>
      </c>
      <c r="B94" s="2" t="n">
        <v>45947.57678240741</v>
      </c>
      <c r="C94" s="2" t="n">
        <v>45947.57694444444</v>
      </c>
      <c r="D94" s="3" t="inlineStr">
        <is>
          <t>anonymous</t>
        </is>
      </c>
      <c r="E94" s="3" t="n"/>
      <c r="F94" s="1" t="n">
        <v>45947</v>
      </c>
      <c r="G94" s="4" t="inlineStr">
        <is>
          <t>1161</t>
        </is>
      </c>
      <c r="H94" s="3" t="inlineStr">
        <is>
          <t>MV</t>
        </is>
      </c>
      <c r="I94" s="4" t="inlineStr">
        <is>
          <t>4803183182773098044</t>
        </is>
      </c>
    </row>
    <row r="95">
      <c r="A95" t="n">
        <v>98</v>
      </c>
      <c r="B95" s="2" t="n">
        <v>45952.69645833333</v>
      </c>
      <c r="C95" s="2" t="n">
        <v>45952.69715277778</v>
      </c>
      <c r="D95" s="3" t="inlineStr">
        <is>
          <t>anonymous</t>
        </is>
      </c>
      <c r="E95" s="3" t="n"/>
      <c r="F95" s="1" t="n">
        <v>45952</v>
      </c>
      <c r="G95" s="4" t="inlineStr">
        <is>
          <t>703</t>
        </is>
      </c>
      <c r="H95" s="3" t="inlineStr">
        <is>
          <t>MV</t>
        </is>
      </c>
      <c r="I95" s="4" t="inlineStr">
        <is>
          <t>4827677979655544919</t>
        </is>
      </c>
    </row>
    <row r="96">
      <c r="A96" t="n">
        <v>99</v>
      </c>
      <c r="B96" s="2" t="n">
        <v>45954.70637731482</v>
      </c>
      <c r="C96" s="2" t="n">
        <v>45954.70650462963</v>
      </c>
      <c r="D96" s="3" t="inlineStr">
        <is>
          <t>anonymous</t>
        </is>
      </c>
      <c r="E96" s="3" t="n"/>
      <c r="F96" s="1" t="n">
        <v>45954</v>
      </c>
      <c r="G96" s="4" t="inlineStr">
        <is>
          <t>-10000</t>
        </is>
      </c>
      <c r="H96" s="3" t="inlineStr">
        <is>
          <t>MV</t>
        </is>
      </c>
      <c r="I96" s="4" t="inlineStr">
        <is>
          <t>Top up</t>
        </is>
      </c>
    </row>
    <row r="97">
      <c r="A97" t="n">
        <v>100</v>
      </c>
      <c r="B97" s="2" t="n">
        <v>45955.59494212963</v>
      </c>
      <c r="C97" s="2" t="n">
        <v>45955.59524305556</v>
      </c>
      <c r="D97" s="3" t="inlineStr">
        <is>
          <t>anonymous</t>
        </is>
      </c>
      <c r="E97" s="3" t="n"/>
      <c r="F97" s="1" t="n">
        <v>45955</v>
      </c>
      <c r="G97" s="4" t="inlineStr">
        <is>
          <t>984.00</t>
        </is>
      </c>
      <c r="H97" s="3" t="inlineStr">
        <is>
          <t>MV</t>
        </is>
      </c>
      <c r="I97" s="4" t="inlineStr">
        <is>
          <t>4821073741713098044</t>
        </is>
      </c>
    </row>
    <row r="98">
      <c r="A98" t="n">
        <v>101</v>
      </c>
      <c r="B98" s="2" t="n">
        <v>45955.59527777778</v>
      </c>
      <c r="C98" s="2" t="n">
        <v>45955.59541666666</v>
      </c>
      <c r="D98" s="3" t="inlineStr">
        <is>
          <t>anonymous</t>
        </is>
      </c>
      <c r="E98" s="3" t="n"/>
      <c r="F98" s="1" t="n">
        <v>45955</v>
      </c>
      <c r="G98" s="4" t="inlineStr">
        <is>
          <t>1100.50</t>
        </is>
      </c>
      <c r="H98" s="3" t="inlineStr">
        <is>
          <t>MV</t>
        </is>
      </c>
      <c r="I98" s="4" t="inlineStr">
        <is>
          <t>4829659777363098044</t>
        </is>
      </c>
    </row>
    <row r="99">
      <c r="A99" t="n">
        <v>102</v>
      </c>
      <c r="B99" s="2" t="n">
        <v>45955.71988425926</v>
      </c>
      <c r="C99" s="2" t="n">
        <v>45955.72002314815</v>
      </c>
      <c r="D99" s="3" t="inlineStr">
        <is>
          <t>anonymous</t>
        </is>
      </c>
      <c r="E99" s="3" t="n"/>
      <c r="F99" s="1" t="n">
        <v>45955</v>
      </c>
      <c r="G99" s="4" t="inlineStr">
        <is>
          <t>920</t>
        </is>
      </c>
      <c r="H99" s="3" t="inlineStr">
        <is>
          <t>MV</t>
        </is>
      </c>
      <c r="I99" s="4" t="inlineStr">
        <is>
          <t>4834722675209544919</t>
        </is>
      </c>
    </row>
    <row r="100">
      <c r="A100" t="n">
        <v>103</v>
      </c>
      <c r="B100" s="2" t="n">
        <v>45955.7203125</v>
      </c>
      <c r="C100" s="2" t="n">
        <v>45955.72043981482</v>
      </c>
      <c r="D100" s="3" t="inlineStr">
        <is>
          <t>anonymous</t>
        </is>
      </c>
      <c r="E100" s="3" t="n"/>
      <c r="F100" s="1" t="n">
        <v>45955</v>
      </c>
      <c r="G100" s="4" t="inlineStr">
        <is>
          <t>613.40</t>
        </is>
      </c>
      <c r="H100" s="3" t="inlineStr">
        <is>
          <t>MV</t>
        </is>
      </c>
      <c r="I100" s="4" t="inlineStr">
        <is>
          <t>4834649558710544919</t>
        </is>
      </c>
    </row>
    <row r="101">
      <c r="A101" t="n">
        <v>104</v>
      </c>
      <c r="B101" s="2" t="n">
        <v>45957.72300925926</v>
      </c>
      <c r="C101" s="2" t="n">
        <v>45957.72340277778</v>
      </c>
      <c r="D101" s="3" t="inlineStr">
        <is>
          <t>anonymous</t>
        </is>
      </c>
      <c r="E101" s="3" t="n"/>
      <c r="F101" s="1" t="n">
        <v>45957</v>
      </c>
      <c r="G101" s="4" t="inlineStr">
        <is>
          <t>936</t>
        </is>
      </c>
      <c r="H101" s="3" t="inlineStr">
        <is>
          <t>MV</t>
        </is>
      </c>
      <c r="I101" s="4" t="inlineStr">
        <is>
          <t>4834722135300544919</t>
        </is>
      </c>
    </row>
    <row r="102">
      <c r="A102" t="n">
        <v>105</v>
      </c>
      <c r="B102" s="2" t="n">
        <v>45957.7234375</v>
      </c>
      <c r="C102" s="2" t="n">
        <v>45957.72392361111</v>
      </c>
      <c r="D102" s="3" t="inlineStr">
        <is>
          <t>anonymous</t>
        </is>
      </c>
      <c r="E102" s="3" t="n"/>
      <c r="F102" s="1" t="n">
        <v>45957</v>
      </c>
      <c r="G102" s="4" t="inlineStr">
        <is>
          <t>618.00</t>
        </is>
      </c>
      <c r="H102" s="3" t="inlineStr">
        <is>
          <t>MV</t>
        </is>
      </c>
      <c r="I102" s="4" t="inlineStr">
        <is>
          <t>4834879813992544919</t>
        </is>
      </c>
    </row>
    <row r="103">
      <c r="A103" t="n">
        <v>106</v>
      </c>
      <c r="B103" s="2" t="n">
        <v>45960.59079861111</v>
      </c>
      <c r="C103" s="2" t="n">
        <v>45960.59121527777</v>
      </c>
      <c r="D103" s="3" t="inlineStr">
        <is>
          <t>anonymous</t>
        </is>
      </c>
      <c r="E103" s="3" t="n"/>
      <c r="F103" s="1" t="n">
        <v>45960</v>
      </c>
      <c r="G103" s="4" t="inlineStr">
        <is>
          <t>1520</t>
        </is>
      </c>
      <c r="H103" s="3" t="inlineStr">
        <is>
          <t>MV</t>
        </is>
      </c>
      <c r="I103" s="4" t="inlineStr">
        <is>
          <t>4845895959278544919</t>
        </is>
      </c>
    </row>
    <row r="104">
      <c r="A104" t="n">
        <v>107</v>
      </c>
      <c r="B104" s="2" t="n">
        <v>45961.50622685185</v>
      </c>
      <c r="C104" s="2" t="n">
        <v>45961.51773148148</v>
      </c>
      <c r="D104" s="3" t="inlineStr">
        <is>
          <t>anonymous</t>
        </is>
      </c>
      <c r="E104" s="3" t="n"/>
      <c r="F104" s="1" t="n">
        <v>45961</v>
      </c>
      <c r="G104" s="4" t="inlineStr">
        <is>
          <t>1125.00</t>
        </is>
      </c>
      <c r="H104" s="3" t="inlineStr">
        <is>
          <t>MV</t>
        </is>
      </c>
      <c r="I104" s="4" t="inlineStr">
        <is>
          <t>4845850130784544919</t>
        </is>
      </c>
    </row>
    <row r="105">
      <c r="A105" t="n">
        <v>108</v>
      </c>
      <c r="B105" s="2" t="n">
        <v>45962.50164351852</v>
      </c>
      <c r="C105" s="2" t="n">
        <v>45962.50185185186</v>
      </c>
      <c r="D105" s="3" t="inlineStr">
        <is>
          <t>anonymous</t>
        </is>
      </c>
      <c r="E105" s="3" t="n"/>
      <c r="F105" s="1" t="n">
        <v>45962</v>
      </c>
      <c r="G105" s="4" t="inlineStr">
        <is>
          <t>960.00</t>
        </is>
      </c>
      <c r="H105" s="3" t="inlineStr">
        <is>
          <t>MV</t>
        </is>
      </c>
      <c r="I105" s="4" t="inlineStr">
        <is>
          <t>4844041347117544919</t>
        </is>
      </c>
    </row>
    <row r="106">
      <c r="A106" t="n">
        <v>109</v>
      </c>
      <c r="B106" s="2" t="n">
        <v>45965.57488425926</v>
      </c>
      <c r="C106" s="2" t="n">
        <v>45965.58363425926</v>
      </c>
      <c r="D106" s="3" t="inlineStr">
        <is>
          <t>anonymous</t>
        </is>
      </c>
      <c r="E106" s="3" t="n"/>
      <c r="F106" s="1" t="n">
        <v>45965</v>
      </c>
      <c r="G106" s="4" t="inlineStr">
        <is>
          <t>2780.00</t>
        </is>
      </c>
      <c r="H106" s="3" t="inlineStr">
        <is>
          <t>MV</t>
        </is>
      </c>
      <c r="I106" s="4" t="inlineStr">
        <is>
          <t>4855657683676544919</t>
        </is>
      </c>
    </row>
    <row r="107">
      <c r="A107" t="n">
        <v>110</v>
      </c>
      <c r="B107" s="2" t="n">
        <v>45966.47422453704</v>
      </c>
      <c r="C107" s="2" t="n">
        <v>45966.47453703704</v>
      </c>
      <c r="D107" s="3" t="inlineStr">
        <is>
          <t>anonymous</t>
        </is>
      </c>
      <c r="E107" s="3" t="n"/>
      <c r="F107" s="1" t="n">
        <v>45966</v>
      </c>
      <c r="G107" s="4" t="inlineStr">
        <is>
          <t>-10000</t>
        </is>
      </c>
      <c r="H107" s="3" t="inlineStr">
        <is>
          <t>MV</t>
        </is>
      </c>
      <c r="I107" s="4" t="inlineStr">
        <is>
          <t>TOP UP</t>
        </is>
      </c>
    </row>
    <row r="108">
      <c r="A108" t="n">
        <v>111</v>
      </c>
      <c r="B108" s="2" t="n">
        <v>45966.65680555555</v>
      </c>
      <c r="C108" s="2" t="n">
        <v>45966.65692129629</v>
      </c>
      <c r="D108" s="3" t="inlineStr">
        <is>
          <t>anonymous</t>
        </is>
      </c>
      <c r="E108" s="3" t="n"/>
      <c r="F108" s="1" t="n">
        <v>45966</v>
      </c>
      <c r="G108" s="4" t="inlineStr">
        <is>
          <t>609</t>
        </is>
      </c>
      <c r="H108" s="3" t="inlineStr">
        <is>
          <t>MV</t>
        </is>
      </c>
      <c r="I108" s="4" t="inlineStr">
        <is>
          <t>4858613967702098044</t>
        </is>
      </c>
    </row>
    <row r="109">
      <c r="A109" t="n">
        <v>112</v>
      </c>
      <c r="B109" s="2" t="n">
        <v>45967.60431712963</v>
      </c>
      <c r="C109" s="2" t="n">
        <v>45967.60443287037</v>
      </c>
      <c r="D109" s="3" t="inlineStr">
        <is>
          <t>anonymous</t>
        </is>
      </c>
      <c r="E109" s="3" t="n"/>
      <c r="F109" s="1" t="n">
        <v>45967</v>
      </c>
      <c r="G109" s="4" t="inlineStr">
        <is>
          <t>3200</t>
        </is>
      </c>
      <c r="H109" s="3" t="inlineStr">
        <is>
          <t>MV</t>
        </is>
      </c>
      <c r="I109" s="4" t="inlineStr">
        <is>
          <t>4860000866166098044</t>
        </is>
      </c>
    </row>
    <row r="110">
      <c r="A110" t="n">
        <v>113</v>
      </c>
      <c r="B110" s="2" t="n">
        <v>45969.74685185185</v>
      </c>
      <c r="C110" s="2" t="n">
        <v>45969.74836805555</v>
      </c>
      <c r="D110" s="3" t="inlineStr">
        <is>
          <t>anonymous</t>
        </is>
      </c>
      <c r="E110" s="3" t="n"/>
      <c r="F110" s="1" t="n">
        <v>45969</v>
      </c>
      <c r="G110" s="4" t="inlineStr">
        <is>
          <t>1078</t>
        </is>
      </c>
      <c r="H110" s="3" t="inlineStr">
        <is>
          <t>MV</t>
        </is>
      </c>
      <c r="I110" s="4" t="inlineStr">
        <is>
          <t>4861254602944544919</t>
        </is>
      </c>
    </row>
    <row r="111">
      <c r="A111" t="n">
        <v>114</v>
      </c>
      <c r="B111" s="2" t="n">
        <v>45969.74923611111</v>
      </c>
      <c r="C111" s="2" t="n">
        <v>45969.7508912037</v>
      </c>
      <c r="D111" s="3" t="inlineStr">
        <is>
          <t>anonymous</t>
        </is>
      </c>
      <c r="E111" s="3" t="n"/>
      <c r="F111" s="1" t="n">
        <v>45969</v>
      </c>
      <c r="G111" s="4" t="inlineStr">
        <is>
          <t>652.00</t>
        </is>
      </c>
      <c r="H111" s="3" t="inlineStr">
        <is>
          <t>MV</t>
        </is>
      </c>
      <c r="I111" s="4" t="inlineStr">
        <is>
          <t>4861553905946544919</t>
        </is>
      </c>
    </row>
    <row r="112">
      <c r="A112" t="n">
        <v>115</v>
      </c>
      <c r="B112" s="2" t="n">
        <v>45970.46513888889</v>
      </c>
      <c r="C112" s="2" t="n">
        <v>45970.46534722222</v>
      </c>
      <c r="D112" s="3" t="inlineStr">
        <is>
          <t>anonymous</t>
        </is>
      </c>
      <c r="E112" s="3" t="n"/>
      <c r="F112" s="1" t="n">
        <v>45970</v>
      </c>
      <c r="G112" s="4" t="inlineStr">
        <is>
          <t>1000.00</t>
        </is>
      </c>
      <c r="H112" s="3" t="inlineStr">
        <is>
          <t>MV</t>
        </is>
      </c>
      <c r="I112" s="4" t="inlineStr">
        <is>
          <t>4861555633540544919</t>
        </is>
      </c>
    </row>
    <row r="113">
      <c r="A113" t="n">
        <v>116</v>
      </c>
      <c r="B113" s="2" t="n">
        <v>45970.46565972222</v>
      </c>
      <c r="C113" s="2" t="n">
        <v>45970.46578703704</v>
      </c>
      <c r="D113" s="3" t="inlineStr">
        <is>
          <t>anonymous</t>
        </is>
      </c>
      <c r="E113" s="3" t="n"/>
      <c r="F113" s="1" t="n">
        <v>45970</v>
      </c>
      <c r="G113" s="4" t="inlineStr">
        <is>
          <t>874.00</t>
        </is>
      </c>
      <c r="H113" s="3" t="inlineStr">
        <is>
          <t>MV</t>
        </is>
      </c>
      <c r="I113" s="4" t="inlineStr">
        <is>
          <t>4861553329972544919</t>
        </is>
      </c>
    </row>
    <row r="114">
      <c r="A114" t="n">
        <v>117</v>
      </c>
      <c r="B114" s="2" t="n">
        <v>45971.60144675926</v>
      </c>
      <c r="C114" s="2" t="n">
        <v>45971.60162037037</v>
      </c>
      <c r="D114" s="3" t="inlineStr">
        <is>
          <t>anonymous</t>
        </is>
      </c>
      <c r="E114" s="3" t="n"/>
      <c r="F114" s="1" t="n">
        <v>45971</v>
      </c>
      <c r="G114" s="4" t="inlineStr">
        <is>
          <t>2962</t>
        </is>
      </c>
      <c r="H114" s="3" t="inlineStr">
        <is>
          <t>MV</t>
        </is>
      </c>
      <c r="I114" s="4" t="inlineStr">
        <is>
          <t>4871765304296098044</t>
        </is>
      </c>
    </row>
    <row r="115">
      <c r="A115" t="n">
        <v>118</v>
      </c>
      <c r="B115" s="2" t="n">
        <v>45972.63327546296</v>
      </c>
      <c r="C115" s="2" t="n">
        <v>45972.63341435185</v>
      </c>
      <c r="D115" s="3" t="inlineStr">
        <is>
          <t>anonymous</t>
        </is>
      </c>
      <c r="E115" s="3" t="n"/>
      <c r="F115" s="1" t="n">
        <v>45972</v>
      </c>
      <c r="G115" s="4" t="inlineStr">
        <is>
          <t>-10000</t>
        </is>
      </c>
      <c r="H115" s="3" t="inlineStr">
        <is>
          <t>MV</t>
        </is>
      </c>
      <c r="I115" s="4" t="inlineStr">
        <is>
          <t>Top up</t>
        </is>
      </c>
    </row>
    <row r="116">
      <c r="A116" t="n">
        <v>119</v>
      </c>
      <c r="B116" s="2" t="n">
        <v>45974.57440972222</v>
      </c>
      <c r="C116" s="2" t="n">
        <v>45974.57461805556</v>
      </c>
      <c r="D116" s="3" t="inlineStr">
        <is>
          <t>anonymous</t>
        </is>
      </c>
      <c r="E116" s="3" t="n"/>
      <c r="F116" s="1" t="n">
        <v>45974</v>
      </c>
      <c r="G116" s="4" t="inlineStr">
        <is>
          <t>841.75</t>
        </is>
      </c>
      <c r="H116" s="3" t="inlineStr">
        <is>
          <t>MV</t>
        </is>
      </c>
      <c r="I116" s="4" t="inlineStr">
        <is>
          <t>4878689222596544919</t>
        </is>
      </c>
    </row>
    <row r="117">
      <c r="A117" t="n">
        <v>120</v>
      </c>
      <c r="B117" s="2" t="n">
        <v>45974.60351851852</v>
      </c>
      <c r="C117" s="2" t="n">
        <v>45974.6044212963</v>
      </c>
      <c r="D117" s="3" t="inlineStr">
        <is>
          <t>anonymous</t>
        </is>
      </c>
      <c r="E117" s="3" t="n"/>
      <c r="F117" s="1" t="n">
        <v>45974</v>
      </c>
      <c r="G117" s="4" t="inlineStr">
        <is>
          <t>840</t>
        </is>
      </c>
      <c r="H117" s="3" t="inlineStr">
        <is>
          <t>MV</t>
        </is>
      </c>
      <c r="I117" s="4" t="inlineStr">
        <is>
          <t>4879063944684544919</t>
        </is>
      </c>
    </row>
    <row r="118">
      <c r="A118" t="n">
        <v>121</v>
      </c>
      <c r="B118" s="2" t="n">
        <v>45975.68762731482</v>
      </c>
      <c r="C118" s="2" t="n">
        <v>45975.68790509259</v>
      </c>
      <c r="D118" s="3" t="inlineStr">
        <is>
          <t>anonymous</t>
        </is>
      </c>
      <c r="E118" s="3" t="n"/>
      <c r="F118" s="1" t="n">
        <v>45975</v>
      </c>
      <c r="G118" s="4" t="inlineStr">
        <is>
          <t>5040</t>
        </is>
      </c>
      <c r="H118" s="3" t="inlineStr">
        <is>
          <t>MV</t>
        </is>
      </c>
      <c r="I118" s="4" t="inlineStr">
        <is>
          <t>4878676478808098044</t>
        </is>
      </c>
    </row>
    <row r="119">
      <c r="A119" t="n">
        <v>122</v>
      </c>
      <c r="B119" s="2" t="n">
        <v>45979.5409375</v>
      </c>
      <c r="C119" s="2" t="n">
        <v>45979.54157407407</v>
      </c>
      <c r="D119" s="3" t="inlineStr">
        <is>
          <t>anonymous</t>
        </is>
      </c>
      <c r="E119" s="3" t="n"/>
      <c r="F119" s="1" t="n">
        <v>45979</v>
      </c>
      <c r="G119" s="4" t="inlineStr">
        <is>
          <t>490</t>
        </is>
      </c>
      <c r="H119" s="3" t="inlineStr">
        <is>
          <t>MV</t>
        </is>
      </c>
      <c r="I119" s="4" t="inlineStr">
        <is>
          <t>4878741099885544919</t>
        </is>
      </c>
    </row>
    <row r="120">
      <c r="A120" t="n">
        <v>123</v>
      </c>
      <c r="B120" s="2" t="n">
        <v>45981.65180555556</v>
      </c>
      <c r="C120" s="2" t="n">
        <v>45981.65202546296</v>
      </c>
      <c r="D120" s="3" t="inlineStr">
        <is>
          <t>anonymous</t>
        </is>
      </c>
      <c r="E120" s="3" t="n"/>
      <c r="F120" s="1" t="n">
        <v>45981</v>
      </c>
      <c r="G120" s="4" t="inlineStr">
        <is>
          <t>-10000</t>
        </is>
      </c>
      <c r="H120" s="3" t="inlineStr">
        <is>
          <t>MV</t>
        </is>
      </c>
      <c r="I120" s="4" t="inlineStr">
        <is>
          <t>top up</t>
        </is>
      </c>
    </row>
    <row r="121">
      <c r="A121" t="n">
        <v>124</v>
      </c>
      <c r="B121" s="2" t="n">
        <v>45982.50438657407</v>
      </c>
      <c r="C121" s="2" t="n">
        <v>45982.50460648148</v>
      </c>
      <c r="D121" s="3" t="inlineStr">
        <is>
          <t>anonymous</t>
        </is>
      </c>
      <c r="E121" s="3" t="n"/>
      <c r="F121" s="1" t="n">
        <v>45982</v>
      </c>
      <c r="G121" s="4" t="inlineStr">
        <is>
          <t>1345</t>
        </is>
      </c>
      <c r="H121" s="3" t="inlineStr">
        <is>
          <t>MV</t>
        </is>
      </c>
      <c r="I121" s="4" t="inlineStr">
        <is>
          <t>LFLF112110</t>
        </is>
      </c>
    </row>
    <row r="122">
      <c r="A122" t="n">
        <v>125</v>
      </c>
      <c r="B122" s="2" t="n">
        <v>45982.77075231481</v>
      </c>
      <c r="C122" s="2" t="n">
        <v>45982.77090277777</v>
      </c>
      <c r="D122" s="3" t="inlineStr">
        <is>
          <t>anonymous</t>
        </is>
      </c>
      <c r="E122" s="3" t="n"/>
      <c r="F122" s="1" t="n">
        <v>45982</v>
      </c>
      <c r="G122" s="4" t="inlineStr">
        <is>
          <t>8016.00</t>
        </is>
      </c>
      <c r="H122" s="3" t="inlineStr">
        <is>
          <t>MV</t>
        </is>
      </c>
      <c r="I122" s="4" t="inlineStr">
        <is>
          <t>4894484294597544919</t>
        </is>
      </c>
    </row>
    <row r="123">
      <c r="A123" t="n">
        <v>126</v>
      </c>
      <c r="B123" s="2" t="n">
        <v>45983.59703703703</v>
      </c>
      <c r="C123" s="2" t="n">
        <v>45983.59712962963</v>
      </c>
      <c r="D123" s="3" t="inlineStr">
        <is>
          <t>anonymous</t>
        </is>
      </c>
      <c r="E123" s="3" t="n"/>
      <c r="F123" s="1" t="n">
        <v>45983</v>
      </c>
      <c r="G123" s="4" t="inlineStr">
        <is>
          <t>772</t>
        </is>
      </c>
      <c r="H123" s="3" t="inlineStr">
        <is>
          <t>MV</t>
        </is>
      </c>
      <c r="I123" s="4" t="inlineStr">
        <is>
          <t>4892220180579098044</t>
        </is>
      </c>
    </row>
    <row r="124">
      <c r="A124" t="n">
        <v>127</v>
      </c>
      <c r="B124" s="2" t="n">
        <v>45986.65787037037</v>
      </c>
      <c r="C124" s="2" t="n">
        <v>45986.65872685185</v>
      </c>
      <c r="D124" s="3" t="inlineStr">
        <is>
          <t>anonymous</t>
        </is>
      </c>
      <c r="E124" s="3" t="n"/>
      <c r="F124" s="1" t="n">
        <v>45986</v>
      </c>
      <c r="G124" s="4" t="n">
        <v>3199.8</v>
      </c>
      <c r="H124" s="3" t="inlineStr">
        <is>
          <t>MV</t>
        </is>
      </c>
      <c r="I124" s="4" t="inlineStr">
        <is>
          <t>4891997664911098044</t>
        </is>
      </c>
    </row>
    <row r="125">
      <c r="A125" t="n">
        <v>128</v>
      </c>
      <c r="B125" s="2" t="n">
        <v>45986.68318287037</v>
      </c>
      <c r="C125" s="2" t="n">
        <v>45986.68349537037</v>
      </c>
      <c r="D125" s="3" t="inlineStr">
        <is>
          <t>anonymous</t>
        </is>
      </c>
      <c r="E125" s="3" t="n"/>
      <c r="F125" s="1" t="n">
        <v>45986</v>
      </c>
      <c r="G125" s="4" t="inlineStr">
        <is>
          <t>-10000</t>
        </is>
      </c>
      <c r="H125" s="3" t="inlineStr">
        <is>
          <t>MV</t>
        </is>
      </c>
      <c r="I125" s="4" t="inlineStr">
        <is>
          <t>top up</t>
        </is>
      </c>
    </row>
    <row r="126">
      <c r="A126" t="n">
        <v>129</v>
      </c>
      <c r="B126" s="2" t="n">
        <v>45986.9037962963</v>
      </c>
      <c r="C126" s="2" t="n">
        <v>45986.90414351852</v>
      </c>
      <c r="D126" s="3" t="inlineStr">
        <is>
          <t>anonymous</t>
        </is>
      </c>
      <c r="E126" s="3" t="n"/>
      <c r="F126" s="1" t="n">
        <v>45986</v>
      </c>
      <c r="G126" s="4" t="inlineStr">
        <is>
          <t>4614.46</t>
        </is>
      </c>
      <c r="H126" s="3" t="inlineStr">
        <is>
          <t>MV</t>
        </is>
      </c>
      <c r="I126" s="4" t="inlineStr">
        <is>
          <t>4904230755804544919</t>
        </is>
      </c>
    </row>
    <row r="127">
      <c r="A127" t="n">
        <v>130</v>
      </c>
      <c r="B127" s="2" t="n">
        <v>45999.9350462963</v>
      </c>
      <c r="C127" s="2" t="n">
        <v>45999.93582175926</v>
      </c>
      <c r="D127" s="3" t="inlineStr">
        <is>
          <t>anonymous</t>
        </is>
      </c>
      <c r="E127" s="3" t="n"/>
      <c r="F127" s="1" t="n">
        <v>45999</v>
      </c>
      <c r="G127" s="4" t="inlineStr">
        <is>
          <t>19.6</t>
        </is>
      </c>
      <c r="H127" s="3" t="inlineStr">
        <is>
          <t>YEONG</t>
        </is>
      </c>
      <c r="I127" s="4" t="inlineStr">
        <is>
          <t>food</t>
        </is>
      </c>
    </row>
    <row r="128">
      <c r="A128" t="n">
        <v>131</v>
      </c>
      <c r="B128" s="2" t="n">
        <v>46003.50891203704</v>
      </c>
      <c r="C128" s="2" t="n">
        <v>46003.50917824074</v>
      </c>
      <c r="D128" s="3" t="inlineStr">
        <is>
          <t>anonymous</t>
        </is>
      </c>
      <c r="E128" s="3" t="n"/>
      <c r="F128" s="1" t="n">
        <v>46003</v>
      </c>
      <c r="G128" s="4" t="inlineStr">
        <is>
          <t>690.25</t>
        </is>
      </c>
      <c r="H128" s="3" t="inlineStr">
        <is>
          <t>MV</t>
        </is>
      </c>
      <c r="I128" s="4" t="inlineStr">
        <is>
          <t>4939193450472544919</t>
        </is>
      </c>
    </row>
    <row r="129">
      <c r="A129" t="n">
        <v>132</v>
      </c>
      <c r="B129" s="2" t="n">
        <v>46013.67924768518</v>
      </c>
      <c r="C129" s="2" t="n">
        <v>46013.67938657408</v>
      </c>
      <c r="D129" s="3" t="inlineStr">
        <is>
          <t>anonymous</t>
        </is>
      </c>
      <c r="E129" s="3" t="n"/>
      <c r="F129" s="1" t="n">
        <v>46013</v>
      </c>
      <c r="G129" s="4" t="inlineStr">
        <is>
          <t>34.07</t>
        </is>
      </c>
      <c r="H129" s="3" t="inlineStr">
        <is>
          <t>MV</t>
        </is>
      </c>
      <c r="I129" s="4" t="inlineStr">
        <is>
          <t>4961560142268544919</t>
        </is>
      </c>
    </row>
    <row r="130">
      <c r="A130" t="n">
        <v>133</v>
      </c>
      <c r="B130" s="2" t="n">
        <v>46013.79912037037</v>
      </c>
      <c r="C130" s="2" t="n">
        <v>46013.79974537037</v>
      </c>
      <c r="D130" s="3" t="inlineStr">
        <is>
          <t>anonymous</t>
        </is>
      </c>
      <c r="E130" s="3" t="n"/>
      <c r="F130" s="1" t="n">
        <v>46013</v>
      </c>
      <c r="G130" s="4" t="inlineStr">
        <is>
          <t>27</t>
        </is>
      </c>
      <c r="H130" s="3" t="inlineStr">
        <is>
          <t>YEONG</t>
        </is>
      </c>
      <c r="I130" s="4" t="inlineStr">
        <is>
          <t>Uniqlo socks</t>
        </is>
      </c>
    </row>
    <row r="131">
      <c r="A131" t="n">
        <v>134</v>
      </c>
      <c r="B131" s="2" t="n">
        <v>46013.80233796296</v>
      </c>
      <c r="C131" s="2" t="n">
        <v>46013.8025</v>
      </c>
      <c r="D131" s="3" t="inlineStr">
        <is>
          <t>anonymous</t>
        </is>
      </c>
      <c r="E131" s="3" t="n"/>
      <c r="F131" s="1" t="n">
        <v>46013</v>
      </c>
      <c r="G131" s="4" t="inlineStr">
        <is>
          <t>29.9</t>
        </is>
      </c>
      <c r="H131" s="3" t="inlineStr">
        <is>
          <t>YEONG</t>
        </is>
      </c>
      <c r="I131" s="4" t="inlineStr">
        <is>
          <t>Micun banfan</t>
        </is>
      </c>
    </row>
    <row r="132">
      <c r="A132" t="n">
        <v>135</v>
      </c>
      <c r="B132" s="2" t="n">
        <v>46014.78775462963</v>
      </c>
      <c r="C132" s="2" t="n">
        <v>46014.78788194444</v>
      </c>
      <c r="D132" s="3" t="inlineStr">
        <is>
          <t>anonymous</t>
        </is>
      </c>
      <c r="E132" s="3" t="n"/>
      <c r="F132" s="1" t="n">
        <v>46014</v>
      </c>
      <c r="G132" s="4" t="inlineStr">
        <is>
          <t>35</t>
        </is>
      </c>
      <c r="H132" s="3" t="inlineStr">
        <is>
          <t>YEONG</t>
        </is>
      </c>
      <c r="I132" s="4" t="inlineStr">
        <is>
          <t>Hefu lao mian</t>
        </is>
      </c>
    </row>
    <row r="133">
      <c r="A133" t="n">
        <v>136</v>
      </c>
      <c r="B133" s="2" t="n">
        <v>46014.78921296296</v>
      </c>
      <c r="C133" s="2" t="n">
        <v>46014.78938657408</v>
      </c>
      <c r="D133" s="3" t="inlineStr">
        <is>
          <t>anonymous</t>
        </is>
      </c>
      <c r="E133" s="3" t="n"/>
      <c r="F133" s="1" t="n">
        <v>46014</v>
      </c>
      <c r="G133" s="4" t="inlineStr">
        <is>
          <t>36.77</t>
        </is>
      </c>
      <c r="H133" s="3" t="inlineStr">
        <is>
          <t>YEONG</t>
        </is>
      </c>
      <c r="I133" s="4" t="inlineStr">
        <is>
          <t>Sbux and didi car</t>
        </is>
      </c>
    </row>
    <row r="134">
      <c r="A134" t="n">
        <v>137</v>
      </c>
      <c r="B134" s="2" t="n">
        <v>46014.81373842592</v>
      </c>
      <c r="C134" s="2" t="n">
        <v>46014.81388888889</v>
      </c>
      <c r="D134" s="3" t="inlineStr">
        <is>
          <t>anonymous</t>
        </is>
      </c>
      <c r="E134" s="3" t="n"/>
      <c r="F134" s="1" t="n">
        <v>46014</v>
      </c>
      <c r="G134" s="4" t="inlineStr">
        <is>
          <t>5.6</t>
        </is>
      </c>
      <c r="H134" s="3" t="inlineStr">
        <is>
          <t>YEONG</t>
        </is>
      </c>
      <c r="I134" s="4" t="inlineStr">
        <is>
          <t>Cake</t>
        </is>
      </c>
    </row>
    <row r="135">
      <c r="A135" t="n">
        <v>138</v>
      </c>
      <c r="B135" s="2" t="n">
        <v>46024.54605324074</v>
      </c>
      <c r="C135" s="2" t="n">
        <v>46024.54621527778</v>
      </c>
      <c r="D135" s="3" t="inlineStr">
        <is>
          <t>anonymous</t>
        </is>
      </c>
      <c r="E135" s="3" t="n"/>
      <c r="F135" s="1" t="n">
        <v>46024</v>
      </c>
      <c r="G135" s="4" t="inlineStr">
        <is>
          <t>805</t>
        </is>
      </c>
      <c r="H135" s="3" t="inlineStr">
        <is>
          <t>MV</t>
        </is>
      </c>
      <c r="I135" s="4" t="inlineStr">
        <is>
          <t>4978591239025098044</t>
        </is>
      </c>
    </row>
    <row r="136">
      <c r="A136" t="n">
        <v>139</v>
      </c>
      <c r="B136" s="2" t="n">
        <v>46025.53783564815</v>
      </c>
      <c r="C136" s="2" t="n">
        <v>46025.53885416667</v>
      </c>
      <c r="D136" s="3" t="inlineStr">
        <is>
          <t>anonymous</t>
        </is>
      </c>
      <c r="E136" s="3" t="n"/>
      <c r="F136" s="1" t="n">
        <v>46025</v>
      </c>
      <c r="G136" s="4" t="inlineStr">
        <is>
          <t>790</t>
        </is>
      </c>
      <c r="H136" s="3" t="inlineStr">
        <is>
          <t>MV</t>
        </is>
      </c>
      <c r="I136" s="4" t="n"/>
    </row>
    <row r="137">
      <c r="A137" t="n">
        <v>140</v>
      </c>
      <c r="B137" s="31" t="n">
        <v>46028.62064814815</v>
      </c>
      <c r="C137" s="31" t="n">
        <v>46028.62078703703</v>
      </c>
      <c r="D137" s="3" t="inlineStr">
        <is>
          <t>anonymous</t>
        </is>
      </c>
      <c r="E137" s="3" t="n"/>
      <c r="F137" s="32" t="n">
        <v>46028</v>
      </c>
      <c r="G137" s="4" t="inlineStr">
        <is>
          <t>5760</t>
        </is>
      </c>
      <c r="H137" s="3" t="inlineStr">
        <is>
          <t>MV</t>
        </is>
      </c>
      <c r="I137" s="4" t="inlineStr">
        <is>
          <t>4990482687045098044</t>
        </is>
      </c>
    </row>
  </sheetData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66"/>
  <sheetViews>
    <sheetView tabSelected="1" topLeftCell="A940" workbookViewId="0">
      <selection activeCell="D966" sqref="D966"/>
    </sheetView>
  </sheetViews>
  <sheetFormatPr baseColWidth="8" defaultRowHeight="14.25"/>
  <cols>
    <col width="12.9296875" customWidth="1" min="1" max="1"/>
    <col width="12" bestFit="1" customWidth="1" min="2" max="2"/>
    <col width="10.19921875" bestFit="1" customWidth="1" min="3" max="3"/>
    <col width="23.3984375" bestFit="1" customWidth="1" style="3" min="4" max="4"/>
    <col width="19.06640625" bestFit="1" customWidth="1" min="5" max="5"/>
    <col width="13.46484375" bestFit="1" customWidth="1" min="6" max="6"/>
    <col width="14.6640625" bestFit="1" customWidth="1" min="7" max="7"/>
  </cols>
  <sheetData>
    <row r="1">
      <c r="A1" s="5" t="inlineStr">
        <is>
          <t>Date</t>
        </is>
      </c>
      <c r="B1" s="6" t="inlineStr">
        <is>
          <t>Amount</t>
        </is>
      </c>
      <c r="C1" s="6" t="inlineStr">
        <is>
          <t>Spender</t>
        </is>
      </c>
      <c r="D1" s="12" t="inlineStr">
        <is>
          <t>Remark</t>
        </is>
      </c>
      <c r="E1" s="6" t="inlineStr">
        <is>
          <t>My Actual Balance</t>
        </is>
      </c>
      <c r="F1" s="6" t="inlineStr">
        <is>
          <t>MV Balance</t>
        </is>
      </c>
      <c r="G1" s="7" t="inlineStr">
        <is>
          <t>Bank Balance</t>
        </is>
      </c>
    </row>
    <row r="2">
      <c r="A2" s="8" t="n">
        <v>45993</v>
      </c>
      <c r="B2" s="24" t="n">
        <v>3669</v>
      </c>
      <c r="C2" s="9" t="inlineStr">
        <is>
          <t>MV</t>
        </is>
      </c>
      <c r="D2" s="13" t="n"/>
      <c r="E2" s="10" t="n">
        <v>3473.15</v>
      </c>
      <c r="F2" s="10" t="n">
        <v>6331</v>
      </c>
      <c r="G2" s="10" t="n">
        <v>9804.15</v>
      </c>
    </row>
    <row r="3">
      <c r="A3" s="8" t="n">
        <v>45701</v>
      </c>
      <c r="B3" s="24" t="n">
        <v>2900</v>
      </c>
      <c r="C3" s="9" t="inlineStr">
        <is>
          <t>MV</t>
        </is>
      </c>
      <c r="D3" s="13" t="n"/>
      <c r="E3" s="10">
        <f>IF(Table2[[#This Row],[Spender]]="YEONG",OFFSET(Table2[[#This Row],[My Actual Balance]],-1,0)-Table2[[#This Row],[Amount]],OFFSET(Table2[[#This Row],[My Actual Balance]],-1,0))</f>
        <v/>
      </c>
      <c r="F3" s="10">
        <f>IF(Table2[[#This Row],[Spender]]="MV",OFFSET(Table2[[#This Row],[MV Balance]],-1,0)-Table2[[#This Row],[Amount]],OFFSET(Table2[[#This Row],[MV Balance]],-1,0))</f>
        <v/>
      </c>
      <c r="G3" s="10">
        <f>SUM(E3:F3)</f>
        <v/>
      </c>
    </row>
    <row r="4">
      <c r="A4" s="8" t="n">
        <v>45702</v>
      </c>
      <c r="B4" s="24" t="n">
        <v>-249</v>
      </c>
      <c r="C4" s="11" t="inlineStr">
        <is>
          <t>YEONG</t>
        </is>
      </c>
      <c r="D4" s="13" t="n"/>
      <c r="E4" s="10">
        <f>IF(Table2[[#This Row],[Spender]]="YEONG",OFFSET(Table2[[#This Row],[My Actual Balance]],-1,0)-Table2[[#This Row],[Amount]],OFFSET(Table2[[#This Row],[My Actual Balance]],-1,0))</f>
        <v/>
      </c>
      <c r="F4" s="10">
        <f>IF(Table2[[#This Row],[Spender]]="MV",OFFSET(Table2[[#This Row],[MV Balance]],-1,0)-Table2[[#This Row],[Amount]],OFFSET(Table2[[#This Row],[MV Balance]],-1,0))</f>
        <v/>
      </c>
      <c r="G4" s="10">
        <f>SUM(E4:F4)</f>
        <v/>
      </c>
    </row>
    <row r="5">
      <c r="A5" s="8" t="n">
        <v>45705</v>
      </c>
      <c r="B5" s="24" t="n">
        <v>3431</v>
      </c>
      <c r="C5" s="9" t="inlineStr">
        <is>
          <t>MV</t>
        </is>
      </c>
      <c r="D5" s="13" t="n"/>
      <c r="E5" s="10">
        <f>IF(Table2[[#This Row],[Spender]]="YEONG",OFFSET(Table2[[#This Row],[My Actual Balance]],-1,0)-Table2[[#This Row],[Amount]],OFFSET(Table2[[#This Row],[My Actual Balance]],-1,0))</f>
        <v/>
      </c>
      <c r="F5" s="10">
        <f>IF(Table2[[#This Row],[Spender]]="MV",OFFSET(Table2[[#This Row],[MV Balance]],-1,0)-Table2[[#This Row],[Amount]],OFFSET(Table2[[#This Row],[MV Balance]],-1,0))</f>
        <v/>
      </c>
      <c r="G5" s="10">
        <f>SUM(E5:F5)</f>
        <v/>
      </c>
    </row>
    <row r="6">
      <c r="A6" s="8" t="n">
        <v>45710</v>
      </c>
      <c r="B6" s="24" t="n">
        <v>-10000</v>
      </c>
      <c r="C6" s="9" t="inlineStr">
        <is>
          <t>MV</t>
        </is>
      </c>
      <c r="D6" s="13" t="n"/>
      <c r="E6" s="10">
        <f>IF(Table2[[#This Row],[Spender]]="YEONG",OFFSET(Table2[[#This Row],[My Actual Balance]],-1,0)-Table2[[#This Row],[Amount]],OFFSET(Table2[[#This Row],[My Actual Balance]],-1,0))</f>
        <v/>
      </c>
      <c r="F6" s="10">
        <f>IF(Table2[[#This Row],[Spender]]="MV",OFFSET(Table2[[#This Row],[MV Balance]],-1,0)-Table2[[#This Row],[Amount]],OFFSET(Table2[[#This Row],[MV Balance]],-1,0))</f>
        <v/>
      </c>
      <c r="G6" s="10">
        <f>SUM(E6:F6)</f>
        <v/>
      </c>
    </row>
    <row r="7">
      <c r="A7" s="8" t="n">
        <v>45710</v>
      </c>
      <c r="B7" s="24" t="n">
        <v>750</v>
      </c>
      <c r="C7" s="9" t="inlineStr">
        <is>
          <t>MV</t>
        </is>
      </c>
      <c r="D7" s="13" t="n"/>
      <c r="E7" s="10">
        <f>IF(Table2[[#This Row],[Spender]]="YEONG",OFFSET(Table2[[#This Row],[My Actual Balance]],-1,0)-Table2[[#This Row],[Amount]],OFFSET(Table2[[#This Row],[My Actual Balance]],-1,0))</f>
        <v/>
      </c>
      <c r="F7" s="10">
        <f>IF(Table2[[#This Row],[Spender]]="MV",OFFSET(Table2[[#This Row],[MV Balance]],-1,0)-Table2[[#This Row],[Amount]],OFFSET(Table2[[#This Row],[MV Balance]],-1,0))</f>
        <v/>
      </c>
      <c r="G7" s="10">
        <f>SUM(E7:F7)</f>
        <v/>
      </c>
    </row>
    <row r="8">
      <c r="A8" s="8" t="n">
        <v>45710</v>
      </c>
      <c r="B8" s="24" t="n">
        <v>482</v>
      </c>
      <c r="C8" s="9" t="inlineStr">
        <is>
          <t>MV</t>
        </is>
      </c>
      <c r="D8" s="13" t="n"/>
      <c r="E8" s="10">
        <f>IF(Table2[[#This Row],[Spender]]="YEONG",OFFSET(Table2[[#This Row],[My Actual Balance]],-1,0)-Table2[[#This Row],[Amount]],OFFSET(Table2[[#This Row],[My Actual Balance]],-1,0))</f>
        <v/>
      </c>
      <c r="F8" s="10">
        <f>IF(Table2[[#This Row],[Spender]]="MV",OFFSET(Table2[[#This Row],[MV Balance]],-1,0)-Table2[[#This Row],[Amount]],OFFSET(Table2[[#This Row],[MV Balance]],-1,0))</f>
        <v/>
      </c>
      <c r="G8" s="10">
        <f>SUM(E8:F8)</f>
        <v/>
      </c>
    </row>
    <row r="9">
      <c r="A9" s="8" t="n">
        <v>45710</v>
      </c>
      <c r="B9" s="24" t="n">
        <v>768.5</v>
      </c>
      <c r="C9" s="9" t="inlineStr">
        <is>
          <t>MV</t>
        </is>
      </c>
      <c r="D9" s="13" t="n"/>
      <c r="E9" s="10">
        <f>IF(Table2[[#This Row],[Spender]]="YEONG",OFFSET(Table2[[#This Row],[My Actual Balance]],-1,0)-Table2[[#This Row],[Amount]],OFFSET(Table2[[#This Row],[My Actual Balance]],-1,0))</f>
        <v/>
      </c>
      <c r="F9" s="10">
        <f>IF(Table2[[#This Row],[Spender]]="MV",OFFSET(Table2[[#This Row],[MV Balance]],-1,0)-Table2[[#This Row],[Amount]],OFFSET(Table2[[#This Row],[MV Balance]],-1,0))</f>
        <v/>
      </c>
      <c r="G9" s="10">
        <f>SUM(E9:F9)</f>
        <v/>
      </c>
    </row>
    <row r="10">
      <c r="A10" s="8" t="n">
        <v>45710</v>
      </c>
      <c r="B10" s="24" t="n">
        <v>675.5</v>
      </c>
      <c r="C10" s="9" t="inlineStr">
        <is>
          <t>MV</t>
        </is>
      </c>
      <c r="D10" s="13" t="n"/>
      <c r="E10" s="10">
        <f>IF(Table2[[#This Row],[Spender]]="YEONG",OFFSET(Table2[[#This Row],[My Actual Balance]],-1,0)-Table2[[#This Row],[Amount]],OFFSET(Table2[[#This Row],[My Actual Balance]],-1,0))</f>
        <v/>
      </c>
      <c r="F10" s="10">
        <f>IF(Table2[[#This Row],[Spender]]="MV",OFFSET(Table2[[#This Row],[MV Balance]],-1,0)-Table2[[#This Row],[Amount]],OFFSET(Table2[[#This Row],[MV Balance]],-1,0))</f>
        <v/>
      </c>
      <c r="G10" s="10">
        <f>SUM(E10:F10)</f>
        <v/>
      </c>
    </row>
    <row r="11">
      <c r="A11" s="8" t="n">
        <v>45710</v>
      </c>
      <c r="B11" s="24" t="n">
        <v>947.5</v>
      </c>
      <c r="C11" s="9" t="inlineStr">
        <is>
          <t>MV</t>
        </is>
      </c>
      <c r="D11" s="13" t="n"/>
      <c r="E11" s="10">
        <f>IF(Table2[[#This Row],[Spender]]="YEONG",OFFSET(Table2[[#This Row],[My Actual Balance]],-1,0)-Table2[[#This Row],[Amount]],OFFSET(Table2[[#This Row],[My Actual Balance]],-1,0))</f>
        <v/>
      </c>
      <c r="F11" s="10">
        <f>IF(Table2[[#This Row],[Spender]]="MV",OFFSET(Table2[[#This Row],[MV Balance]],-1,0)-Table2[[#This Row],[Amount]],OFFSET(Table2[[#This Row],[MV Balance]],-1,0))</f>
        <v/>
      </c>
      <c r="G11" s="10">
        <f>SUM(E11:F11)</f>
        <v/>
      </c>
    </row>
    <row r="12">
      <c r="A12" s="8" t="n">
        <v>45710</v>
      </c>
      <c r="B12" s="24" t="n">
        <v>570</v>
      </c>
      <c r="C12" s="9" t="inlineStr">
        <is>
          <t>MV</t>
        </is>
      </c>
      <c r="D12" s="13" t="n"/>
      <c r="E12" s="10">
        <f>IF(Table2[[#This Row],[Spender]]="YEONG",OFFSET(Table2[[#This Row],[My Actual Balance]],-1,0)-Table2[[#This Row],[Amount]],OFFSET(Table2[[#This Row],[My Actual Balance]],-1,0))</f>
        <v/>
      </c>
      <c r="F12" s="10">
        <f>IF(Table2[[#This Row],[Spender]]="MV",OFFSET(Table2[[#This Row],[MV Balance]],-1,0)-Table2[[#This Row],[Amount]],OFFSET(Table2[[#This Row],[MV Balance]],-1,0))</f>
        <v/>
      </c>
      <c r="G12" s="10">
        <f>SUM(E12:F12)</f>
        <v/>
      </c>
    </row>
    <row r="13">
      <c r="A13" s="8" t="n">
        <v>45710</v>
      </c>
      <c r="B13" s="24" t="n">
        <v>6246</v>
      </c>
      <c r="C13" s="9" t="inlineStr">
        <is>
          <t>MV</t>
        </is>
      </c>
      <c r="D13" s="13" t="n"/>
      <c r="E13" s="10">
        <f>IF(Table2[[#This Row],[Spender]]="YEONG",OFFSET(Table2[[#This Row],[My Actual Balance]],-1,0)-Table2[[#This Row],[Amount]],OFFSET(Table2[[#This Row],[My Actual Balance]],-1,0))</f>
        <v/>
      </c>
      <c r="F13" s="10">
        <f>IF(Table2[[#This Row],[Spender]]="MV",OFFSET(Table2[[#This Row],[MV Balance]],-1,0)-Table2[[#This Row],[Amount]],OFFSET(Table2[[#This Row],[MV Balance]],-1,0))</f>
        <v/>
      </c>
      <c r="G13" s="10">
        <f>SUM(E13:F13)</f>
        <v/>
      </c>
    </row>
    <row r="14">
      <c r="A14" s="8" t="n">
        <v>45711</v>
      </c>
      <c r="B14" s="24" t="n">
        <v>-439.5</v>
      </c>
      <c r="C14" s="9" t="inlineStr">
        <is>
          <t>MV</t>
        </is>
      </c>
      <c r="D14" s="13" t="n"/>
      <c r="E14" s="10">
        <f>IF(Table2[[#This Row],[Spender]]="YEONG",OFFSET(Table2[[#This Row],[My Actual Balance]],-1,0)-Table2[[#This Row],[Amount]],OFFSET(Table2[[#This Row],[My Actual Balance]],-1,0))</f>
        <v/>
      </c>
      <c r="F14" s="10">
        <f>IF(Table2[[#This Row],[Spender]]="MV",OFFSET(Table2[[#This Row],[MV Balance]],-1,0)-Table2[[#This Row],[Amount]],OFFSET(Table2[[#This Row],[MV Balance]],-1,0))</f>
        <v/>
      </c>
      <c r="G14" s="10">
        <f>SUM(E14:F14)</f>
        <v/>
      </c>
    </row>
    <row r="15">
      <c r="A15" s="8" t="n">
        <v>45713</v>
      </c>
      <c r="B15" s="24" t="n">
        <v>-10000</v>
      </c>
      <c r="C15" s="9" t="inlineStr">
        <is>
          <t>MV</t>
        </is>
      </c>
      <c r="D15" s="13" t="n"/>
      <c r="E15" s="10">
        <f>IF(Table2[[#This Row],[Spender]]="YEONG",OFFSET(Table2[[#This Row],[My Actual Balance]],-1,0)-Table2[[#This Row],[Amount]],OFFSET(Table2[[#This Row],[My Actual Balance]],-1,0))</f>
        <v/>
      </c>
      <c r="F15" s="10">
        <f>IF(Table2[[#This Row],[Spender]]="MV",OFFSET(Table2[[#This Row],[MV Balance]],-1,0)-Table2[[#This Row],[Amount]],OFFSET(Table2[[#This Row],[MV Balance]],-1,0))</f>
        <v/>
      </c>
      <c r="G15" s="10">
        <f>SUM(E15:F15)</f>
        <v/>
      </c>
    </row>
    <row r="16">
      <c r="A16" s="8" t="n">
        <v>45713</v>
      </c>
      <c r="B16" s="24" t="n">
        <v>5000</v>
      </c>
      <c r="C16" s="9" t="inlineStr">
        <is>
          <t>MV</t>
        </is>
      </c>
      <c r="D16" s="13" t="n"/>
      <c r="E16" s="10">
        <f>IF(Table2[[#This Row],[Spender]]="YEONG",OFFSET(Table2[[#This Row],[My Actual Balance]],-1,0)-Table2[[#This Row],[Amount]],OFFSET(Table2[[#This Row],[My Actual Balance]],-1,0))</f>
        <v/>
      </c>
      <c r="F16" s="10">
        <f>IF(Table2[[#This Row],[Spender]]="MV",OFFSET(Table2[[#This Row],[MV Balance]],-1,0)-Table2[[#This Row],[Amount]],OFFSET(Table2[[#This Row],[MV Balance]],-1,0))</f>
        <v/>
      </c>
      <c r="G16" s="10">
        <f>SUM(E16:F16)</f>
        <v/>
      </c>
    </row>
    <row r="17">
      <c r="A17" s="8" t="n">
        <v>45715</v>
      </c>
      <c r="B17" s="24" t="n">
        <v>3550</v>
      </c>
      <c r="C17" s="9" t="inlineStr">
        <is>
          <t>MV</t>
        </is>
      </c>
      <c r="D17" s="13" t="n"/>
      <c r="E17" s="10">
        <f>IF(Table2[[#This Row],[Spender]]="YEONG",OFFSET(Table2[[#This Row],[My Actual Balance]],-1,0)-Table2[[#This Row],[Amount]],OFFSET(Table2[[#This Row],[My Actual Balance]],-1,0))</f>
        <v/>
      </c>
      <c r="F17" s="10">
        <f>IF(Table2[[#This Row],[Spender]]="MV",OFFSET(Table2[[#This Row],[MV Balance]],-1,0)-Table2[[#This Row],[Amount]],OFFSET(Table2[[#This Row],[MV Balance]],-1,0))</f>
        <v/>
      </c>
      <c r="G17" s="10">
        <f>SUM(E17:F17)</f>
        <v/>
      </c>
    </row>
    <row r="18">
      <c r="A18" s="8" t="n">
        <v>45716</v>
      </c>
      <c r="B18" s="24" t="n">
        <v>1450</v>
      </c>
      <c r="C18" s="9" t="inlineStr">
        <is>
          <t>MV</t>
        </is>
      </c>
      <c r="D18" s="13" t="n"/>
      <c r="E18" s="10">
        <f>IF(Table2[[#This Row],[Spender]]="YEONG",OFFSET(Table2[[#This Row],[My Actual Balance]],-1,0)-Table2[[#This Row],[Amount]],OFFSET(Table2[[#This Row],[My Actual Balance]],-1,0))</f>
        <v/>
      </c>
      <c r="F18" s="10">
        <f>IF(Table2[[#This Row],[Spender]]="MV",OFFSET(Table2[[#This Row],[MV Balance]],-1,0)-Table2[[#This Row],[Amount]],OFFSET(Table2[[#This Row],[MV Balance]],-1,0))</f>
        <v/>
      </c>
      <c r="G18" s="10">
        <f>SUM(E18:F18)</f>
        <v/>
      </c>
    </row>
    <row r="19">
      <c r="A19" s="8" t="n">
        <v>45716</v>
      </c>
      <c r="B19" s="24" t="n">
        <v>215.79</v>
      </c>
      <c r="C19" s="11" t="inlineStr">
        <is>
          <t>YEONG</t>
        </is>
      </c>
      <c r="D19" s="14" t="inlineStr">
        <is>
          <t>buy Mom dress</t>
        </is>
      </c>
      <c r="E19" s="10">
        <f>IF(Table2[[#This Row],[Spender]]="YEONG",OFFSET(Table2[[#This Row],[My Actual Balance]],-1,0)-Table2[[#This Row],[Amount]],OFFSET(Table2[[#This Row],[My Actual Balance]],-1,0))</f>
        <v/>
      </c>
      <c r="F19" s="10">
        <f>IF(Table2[[#This Row],[Spender]]="MV",OFFSET(Table2[[#This Row],[MV Balance]],-1,0)-Table2[[#This Row],[Amount]],OFFSET(Table2[[#This Row],[MV Balance]],-1,0))</f>
        <v/>
      </c>
      <c r="G19" s="10">
        <f>SUM(E19:F19)</f>
        <v/>
      </c>
    </row>
    <row r="20">
      <c r="A20" s="8" t="n">
        <v>45719</v>
      </c>
      <c r="B20" s="24" t="n">
        <v>-10000</v>
      </c>
      <c r="C20" s="9" t="inlineStr">
        <is>
          <t>MV</t>
        </is>
      </c>
      <c r="D20" s="13" t="n"/>
      <c r="E20" s="10">
        <f>IF(Table2[[#This Row],[Spender]]="YEONG",OFFSET(Table2[[#This Row],[My Actual Balance]],-1,0)-Table2[[#This Row],[Amount]],OFFSET(Table2[[#This Row],[My Actual Balance]],-1,0))</f>
        <v/>
      </c>
      <c r="F20" s="10">
        <f>IF(Table2[[#This Row],[Spender]]="MV",OFFSET(Table2[[#This Row],[MV Balance]],-1,0)-Table2[[#This Row],[Amount]],OFFSET(Table2[[#This Row],[MV Balance]],-1,0))</f>
        <v/>
      </c>
      <c r="G20" s="10">
        <f>SUM(E20:F20)</f>
        <v/>
      </c>
    </row>
    <row r="21">
      <c r="A21" s="8" t="n">
        <v>45719</v>
      </c>
      <c r="B21" s="24" t="n">
        <v>141</v>
      </c>
      <c r="C21" s="11" t="inlineStr">
        <is>
          <t>YEONG</t>
        </is>
      </c>
      <c r="D21" s="14" t="inlineStr">
        <is>
          <t>buy durian</t>
        </is>
      </c>
      <c r="E21" s="10">
        <f>IF(Table2[[#This Row],[Spender]]="YEONG",OFFSET(Table2[[#This Row],[My Actual Balance]],-1,0)-Table2[[#This Row],[Amount]],OFFSET(Table2[[#This Row],[My Actual Balance]],-1,0))</f>
        <v/>
      </c>
      <c r="F21" s="10">
        <f>IF(Table2[[#This Row],[Spender]]="MV",OFFSET(Table2[[#This Row],[MV Balance]],-1,0)-Table2[[#This Row],[Amount]],OFFSET(Table2[[#This Row],[MV Balance]],-1,0))</f>
        <v/>
      </c>
      <c r="G21" s="10">
        <f>SUM(E21:F21)</f>
        <v/>
      </c>
    </row>
    <row r="22">
      <c r="A22" s="8" t="n">
        <v>45719</v>
      </c>
      <c r="B22" s="24" t="n">
        <v>29.1</v>
      </c>
      <c r="C22" s="11" t="inlineStr">
        <is>
          <t>YEONG</t>
        </is>
      </c>
      <c r="D22" s="14" t="inlineStr">
        <is>
          <t>food</t>
        </is>
      </c>
      <c r="E22" s="10">
        <f>IF(Table2[[#This Row],[Spender]]="YEONG",OFFSET(Table2[[#This Row],[My Actual Balance]],-1,0)-Table2[[#This Row],[Amount]],OFFSET(Table2[[#This Row],[My Actual Balance]],-1,0))</f>
        <v/>
      </c>
      <c r="F22" s="10">
        <f>IF(Table2[[#This Row],[Spender]]="MV",OFFSET(Table2[[#This Row],[MV Balance]],-1,0)-Table2[[#This Row],[Amount]],OFFSET(Table2[[#This Row],[MV Balance]],-1,0))</f>
        <v/>
      </c>
      <c r="G22" s="10">
        <f>SUM(E22:F22)</f>
        <v/>
      </c>
    </row>
    <row r="23">
      <c r="A23" s="8" t="n">
        <v>45780</v>
      </c>
      <c r="B23" s="24" t="n">
        <v>1187.19</v>
      </c>
      <c r="C23" s="9" t="inlineStr">
        <is>
          <t>MV</t>
        </is>
      </c>
      <c r="D23" s="13" t="n"/>
      <c r="E23" s="10">
        <f>IF(Table2[[#This Row],[Spender]]="YEONG",OFFSET(Table2[[#This Row],[My Actual Balance]],-1,0)-Table2[[#This Row],[Amount]],OFFSET(Table2[[#This Row],[My Actual Balance]],-1,0))</f>
        <v/>
      </c>
      <c r="F23" s="10">
        <f>IF(Table2[[#This Row],[Spender]]="MV",OFFSET(Table2[[#This Row],[MV Balance]],-1,0)-Table2[[#This Row],[Amount]],OFFSET(Table2[[#This Row],[MV Balance]],-1,0))</f>
        <v/>
      </c>
      <c r="G23" s="10">
        <f>SUM(E23:F23)</f>
        <v/>
      </c>
    </row>
    <row r="24">
      <c r="A24" s="8" t="n">
        <v>45841</v>
      </c>
      <c r="B24" s="24" t="n">
        <v>3926</v>
      </c>
      <c r="C24" s="9" t="inlineStr">
        <is>
          <t>MV</t>
        </is>
      </c>
      <c r="D24" s="13" t="n"/>
      <c r="E24" s="10">
        <f>IF(Table2[[#This Row],[Spender]]="YEONG",OFFSET(Table2[[#This Row],[My Actual Balance]],-1,0)-Table2[[#This Row],[Amount]],OFFSET(Table2[[#This Row],[My Actual Balance]],-1,0))</f>
        <v/>
      </c>
      <c r="F24" s="10">
        <f>IF(Table2[[#This Row],[Spender]]="MV",OFFSET(Table2[[#This Row],[MV Balance]],-1,0)-Table2[[#This Row],[Amount]],OFFSET(Table2[[#This Row],[MV Balance]],-1,0))</f>
        <v/>
      </c>
      <c r="G24" s="10">
        <f>SUM(E24:F24)</f>
        <v/>
      </c>
    </row>
    <row r="25">
      <c r="A25" s="8" t="n">
        <v>45994</v>
      </c>
      <c r="B25" s="24" t="n">
        <v>-10</v>
      </c>
      <c r="C25" s="11" t="inlineStr">
        <is>
          <t>YEONG</t>
        </is>
      </c>
      <c r="D25" s="14" t="inlineStr">
        <is>
          <t>bank reimburse fee</t>
        </is>
      </c>
      <c r="E25" s="10">
        <f>IF(Table2[[#This Row],[Spender]]="YEONG",OFFSET(Table2[[#This Row],[My Actual Balance]],-1,0)-Table2[[#This Row],[Amount]],OFFSET(Table2[[#This Row],[My Actual Balance]],-1,0))</f>
        <v/>
      </c>
      <c r="F25" s="10">
        <f>IF(Table2[[#This Row],[Spender]]="MV",OFFSET(Table2[[#This Row],[MV Balance]],-1,0)-Table2[[#This Row],[Amount]],OFFSET(Table2[[#This Row],[MV Balance]],-1,0))</f>
        <v/>
      </c>
      <c r="G25" s="10">
        <f>SUM(E25:F25)</f>
        <v/>
      </c>
    </row>
    <row r="26">
      <c r="A26" s="15" t="n">
        <v>45729</v>
      </c>
      <c r="B26" s="24" t="n">
        <v>2900</v>
      </c>
      <c r="C26" s="9" t="inlineStr">
        <is>
          <t>MV</t>
        </is>
      </c>
      <c r="D26" s="13" t="n"/>
      <c r="E26" s="10">
        <f>IF(Table2[[#This Row],[Spender]]="YEONG",OFFSET(Table2[[#This Row],[My Actual Balance]],-1,0)-Table2[[#This Row],[Amount]],OFFSET(Table2[[#This Row],[My Actual Balance]],-1,0))</f>
        <v/>
      </c>
      <c r="F26" s="10">
        <f>IF(Table2[[#This Row],[Spender]]="MV",OFFSET(Table2[[#This Row],[MV Balance]],-1,0)-Table2[[#This Row],[Amount]],OFFSET(Table2[[#This Row],[MV Balance]],-1,0))</f>
        <v/>
      </c>
      <c r="G26" s="10">
        <f>SUM(E26:F26)</f>
        <v/>
      </c>
    </row>
    <row r="27">
      <c r="A27" s="15" t="n">
        <v>45730</v>
      </c>
      <c r="B27" s="24" t="n">
        <v>142.74</v>
      </c>
      <c r="C27" s="11" t="inlineStr">
        <is>
          <t>YEONG</t>
        </is>
      </c>
      <c r="D27" s="14" t="inlineStr">
        <is>
          <t>Father item</t>
        </is>
      </c>
      <c r="E27" s="10">
        <f>IF(Table2[[#This Row],[Spender]]="YEONG",OFFSET(Table2[[#This Row],[My Actual Balance]],-1,0)-Table2[[#This Row],[Amount]],OFFSET(Table2[[#This Row],[My Actual Balance]],-1,0))</f>
        <v/>
      </c>
      <c r="F27" s="10">
        <f>IF(Table2[[#This Row],[Spender]]="MV",OFFSET(Table2[[#This Row],[MV Balance]],-1,0)-Table2[[#This Row],[Amount]],OFFSET(Table2[[#This Row],[MV Balance]],-1,0))</f>
        <v/>
      </c>
      <c r="G27" s="10">
        <f>SUM(E27:F27)</f>
        <v/>
      </c>
    </row>
    <row r="28">
      <c r="A28" s="15" t="n">
        <v>45730</v>
      </c>
      <c r="B28" s="24" t="n">
        <v>899</v>
      </c>
      <c r="C28" s="9" t="inlineStr">
        <is>
          <t>MV</t>
        </is>
      </c>
      <c r="D28" s="13" t="n"/>
      <c r="E28" s="10">
        <f>IF(Table2[[#This Row],[Spender]]="YEONG",OFFSET(Table2[[#This Row],[My Actual Balance]],-1,0)-Table2[[#This Row],[Amount]],OFFSET(Table2[[#This Row],[My Actual Balance]],-1,0))</f>
        <v/>
      </c>
      <c r="F28" s="10">
        <f>IF(Table2[[#This Row],[Spender]]="MV",OFFSET(Table2[[#This Row],[MV Balance]],-1,0)-Table2[[#This Row],[Amount]],OFFSET(Table2[[#This Row],[MV Balance]],-1,0))</f>
        <v/>
      </c>
      <c r="G28" s="10">
        <f>SUM(E28:F28)</f>
        <v/>
      </c>
    </row>
    <row r="29">
      <c r="A29" s="15" t="n">
        <v>45730</v>
      </c>
      <c r="B29" s="24" t="n">
        <v>740</v>
      </c>
      <c r="C29" s="9" t="inlineStr">
        <is>
          <t>MV</t>
        </is>
      </c>
      <c r="D29" s="13" t="n"/>
      <c r="E29" s="10">
        <f>IF(Table2[[#This Row],[Spender]]="YEONG",OFFSET(Table2[[#This Row],[My Actual Balance]],-1,0)-Table2[[#This Row],[Amount]],OFFSET(Table2[[#This Row],[My Actual Balance]],-1,0))</f>
        <v/>
      </c>
      <c r="F29" s="10">
        <f>IF(Table2[[#This Row],[Spender]]="MV",OFFSET(Table2[[#This Row],[MV Balance]],-1,0)-Table2[[#This Row],[Amount]],OFFSET(Table2[[#This Row],[MV Balance]],-1,0))</f>
        <v/>
      </c>
      <c r="G29" s="10">
        <f>SUM(E29:F29)</f>
        <v/>
      </c>
    </row>
    <row r="30">
      <c r="A30" s="15" t="n">
        <v>45736</v>
      </c>
      <c r="B30" s="24" t="n">
        <v>-10000</v>
      </c>
      <c r="C30" s="9" t="inlineStr">
        <is>
          <t>MV</t>
        </is>
      </c>
      <c r="D30" s="13" t="n"/>
      <c r="E30" s="10">
        <f>IF(Table2[[#This Row],[Spender]]="YEONG",OFFSET(Table2[[#This Row],[My Actual Balance]],-1,0)-Table2[[#This Row],[Amount]],OFFSET(Table2[[#This Row],[My Actual Balance]],-1,0))</f>
        <v/>
      </c>
      <c r="F30" s="10">
        <f>IF(Table2[[#This Row],[Spender]]="MV",OFFSET(Table2[[#This Row],[MV Balance]],-1,0)-Table2[[#This Row],[Amount]],OFFSET(Table2[[#This Row],[MV Balance]],-1,0))</f>
        <v/>
      </c>
      <c r="G30" s="10">
        <f>SUM(E30:F30)</f>
        <v/>
      </c>
    </row>
    <row r="31">
      <c r="A31" s="15" t="n">
        <v>45736</v>
      </c>
      <c r="B31" s="24" t="n">
        <v>3750</v>
      </c>
      <c r="C31" s="9" t="inlineStr">
        <is>
          <t>MV</t>
        </is>
      </c>
      <c r="D31" s="13" t="n"/>
      <c r="E31" s="10">
        <f>IF(Table2[[#This Row],[Spender]]="YEONG",OFFSET(Table2[[#This Row],[My Actual Balance]],-1,0)-Table2[[#This Row],[Amount]],OFFSET(Table2[[#This Row],[My Actual Balance]],-1,0))</f>
        <v/>
      </c>
      <c r="F31" s="10">
        <f>IF(Table2[[#This Row],[Spender]]="MV",OFFSET(Table2[[#This Row],[MV Balance]],-1,0)-Table2[[#This Row],[Amount]],OFFSET(Table2[[#This Row],[MV Balance]],-1,0))</f>
        <v/>
      </c>
      <c r="G31" s="10">
        <f>SUM(E31:F31)</f>
        <v/>
      </c>
    </row>
    <row r="32">
      <c r="A32" s="15" t="n">
        <v>45742</v>
      </c>
      <c r="B32" s="24" t="n">
        <v>2900</v>
      </c>
      <c r="C32" s="9" t="inlineStr">
        <is>
          <t>MV</t>
        </is>
      </c>
      <c r="D32" s="13" t="n"/>
      <c r="E32" s="10">
        <f>IF(Table2[[#This Row],[Spender]]="YEONG",OFFSET(Table2[[#This Row],[My Actual Balance]],-1,0)-Table2[[#This Row],[Amount]],OFFSET(Table2[[#This Row],[My Actual Balance]],-1,0))</f>
        <v/>
      </c>
      <c r="F32" s="10">
        <f>IF(Table2[[#This Row],[Spender]]="MV",OFFSET(Table2[[#This Row],[MV Balance]],-1,0)-Table2[[#This Row],[Amount]],OFFSET(Table2[[#This Row],[MV Balance]],-1,0))</f>
        <v/>
      </c>
      <c r="G32" s="10">
        <f>SUM(E32:F32)</f>
        <v/>
      </c>
    </row>
    <row r="33">
      <c r="A33" s="15" t="n">
        <v>45742</v>
      </c>
      <c r="B33" s="24" t="n">
        <v>-1.34</v>
      </c>
      <c r="C33" s="11" t="inlineStr">
        <is>
          <t>YEONG</t>
        </is>
      </c>
      <c r="D33" s="14" t="inlineStr">
        <is>
          <t>interest gain</t>
        </is>
      </c>
      <c r="E33" s="10">
        <f>IF(Table2[[#This Row],[Spender]]="YEONG",OFFSET(Table2[[#This Row],[My Actual Balance]],-1,0)-Table2[[#This Row],[Amount]],OFFSET(Table2[[#This Row],[My Actual Balance]],-1,0))</f>
        <v/>
      </c>
      <c r="F33" s="10">
        <f>IF(Table2[[#This Row],[Spender]]="MV",OFFSET(Table2[[#This Row],[MV Balance]],-1,0)-Table2[[#This Row],[Amount]],OFFSET(Table2[[#This Row],[MV Balance]],-1,0))</f>
        <v/>
      </c>
      <c r="G33" s="10">
        <f>SUM(E33:F33)</f>
        <v/>
      </c>
    </row>
    <row r="34">
      <c r="A34" s="8" t="n">
        <v>45661</v>
      </c>
      <c r="B34" s="24" t="n">
        <v>26.2</v>
      </c>
      <c r="C34" s="11" t="inlineStr">
        <is>
          <t>YEONG</t>
        </is>
      </c>
      <c r="D34" s="14" t="inlineStr">
        <is>
          <t>food</t>
        </is>
      </c>
      <c r="E34" s="10">
        <f>IF(Table2[[#This Row],[Spender]]="YEONG",OFFSET(Table2[[#This Row],[My Actual Balance]],-1,0)-Table2[[#This Row],[Amount]],OFFSET(Table2[[#This Row],[My Actual Balance]],-1,0))</f>
        <v/>
      </c>
      <c r="F34" s="10">
        <f>IF(Table2[[#This Row],[Spender]]="MV",OFFSET(Table2[[#This Row],[MV Balance]],-1,0)-Table2[[#This Row],[Amount]],OFFSET(Table2[[#This Row],[MV Balance]],-1,0))</f>
        <v/>
      </c>
      <c r="G34" s="10">
        <f>SUM(E34:F34)</f>
        <v/>
      </c>
    </row>
    <row r="35">
      <c r="A35" s="8" t="n">
        <v>45720</v>
      </c>
      <c r="B35" s="24" t="n">
        <v>509.2</v>
      </c>
      <c r="C35" s="9" t="inlineStr">
        <is>
          <t>MV</t>
        </is>
      </c>
      <c r="D35" s="13" t="n"/>
      <c r="E35" s="10">
        <f>IF(Table2[[#This Row],[Spender]]="YEONG",OFFSET(Table2[[#This Row],[My Actual Balance]],-1,0)-Table2[[#This Row],[Amount]],OFFSET(Table2[[#This Row],[My Actual Balance]],-1,0))</f>
        <v/>
      </c>
      <c r="F35" s="10">
        <f>IF(Table2[[#This Row],[Spender]]="MV",OFFSET(Table2[[#This Row],[MV Balance]],-1,0)-Table2[[#This Row],[Amount]],OFFSET(Table2[[#This Row],[MV Balance]],-1,0))</f>
        <v/>
      </c>
      <c r="G35" s="10">
        <f>SUM(E35:F35)</f>
        <v/>
      </c>
    </row>
    <row r="36">
      <c r="A36" s="8" t="n">
        <v>45720</v>
      </c>
      <c r="B36" s="24" t="n">
        <v>825</v>
      </c>
      <c r="C36" s="9" t="inlineStr">
        <is>
          <t>MV</t>
        </is>
      </c>
      <c r="D36" s="13" t="n"/>
      <c r="E36" s="10">
        <f>IF(Table2[[#This Row],[Spender]]="YEONG",OFFSET(Table2[[#This Row],[My Actual Balance]],-1,0)-Table2[[#This Row],[Amount]],OFFSET(Table2[[#This Row],[My Actual Balance]],-1,0))</f>
        <v/>
      </c>
      <c r="F36" s="10">
        <f>IF(Table2[[#This Row],[Spender]]="MV",OFFSET(Table2[[#This Row],[MV Balance]],-1,0)-Table2[[#This Row],[Amount]],OFFSET(Table2[[#This Row],[MV Balance]],-1,0))</f>
        <v/>
      </c>
      <c r="G36" s="10">
        <f>SUM(E36:F36)</f>
        <v/>
      </c>
    </row>
    <row r="37">
      <c r="A37" s="8" t="n">
        <v>45720</v>
      </c>
      <c r="B37" s="24" t="n">
        <v>554</v>
      </c>
      <c r="C37" s="9" t="inlineStr">
        <is>
          <t>MV</t>
        </is>
      </c>
      <c r="D37" s="13" t="n"/>
      <c r="E37" s="10">
        <f>IF(Table2[[#This Row],[Spender]]="YEONG",OFFSET(Table2[[#This Row],[My Actual Balance]],-1,0)-Table2[[#This Row],[Amount]],OFFSET(Table2[[#This Row],[My Actual Balance]],-1,0))</f>
        <v/>
      </c>
      <c r="F37" s="10">
        <f>IF(Table2[[#This Row],[Spender]]="MV",OFFSET(Table2[[#This Row],[MV Balance]],-1,0)-Table2[[#This Row],[Amount]],OFFSET(Table2[[#This Row],[MV Balance]],-1,0))</f>
        <v/>
      </c>
      <c r="G37" s="10">
        <f>SUM(E37:F37)</f>
        <v/>
      </c>
    </row>
    <row r="38">
      <c r="A38" s="8" t="n">
        <v>45781</v>
      </c>
      <c r="B38" s="24" t="n">
        <v>555</v>
      </c>
      <c r="C38" s="9" t="inlineStr">
        <is>
          <t>MV</t>
        </is>
      </c>
      <c r="D38" s="13" t="n"/>
      <c r="E38" s="10">
        <f>IF(Table2[[#This Row],[Spender]]="YEONG",OFFSET(Table2[[#This Row],[My Actual Balance]],-1,0)-Table2[[#This Row],[Amount]],OFFSET(Table2[[#This Row],[My Actual Balance]],-1,0))</f>
        <v/>
      </c>
      <c r="F38" s="10">
        <f>IF(Table2[[#This Row],[Spender]]="MV",OFFSET(Table2[[#This Row],[MV Balance]],-1,0)-Table2[[#This Row],[Amount]],OFFSET(Table2[[#This Row],[MV Balance]],-1,0))</f>
        <v/>
      </c>
      <c r="G38" s="10">
        <f>SUM(E38:F38)</f>
        <v/>
      </c>
    </row>
    <row r="39">
      <c r="A39" s="8" t="n">
        <v>45781</v>
      </c>
      <c r="B39" s="24" t="n">
        <v>842.5</v>
      </c>
      <c r="C39" s="9" t="inlineStr">
        <is>
          <t>MV</t>
        </is>
      </c>
      <c r="D39" s="13" t="n"/>
      <c r="E39" s="10">
        <f>IF(Table2[[#This Row],[Spender]]="YEONG",OFFSET(Table2[[#This Row],[My Actual Balance]],-1,0)-Table2[[#This Row],[Amount]],OFFSET(Table2[[#This Row],[My Actual Balance]],-1,0))</f>
        <v/>
      </c>
      <c r="F39" s="10">
        <f>IF(Table2[[#This Row],[Spender]]="MV",OFFSET(Table2[[#This Row],[MV Balance]],-1,0)-Table2[[#This Row],[Amount]],OFFSET(Table2[[#This Row],[MV Balance]],-1,0))</f>
        <v/>
      </c>
      <c r="G39" s="10">
        <f>SUM(E39:F39)</f>
        <v/>
      </c>
    </row>
    <row r="40">
      <c r="A40" s="8" t="n">
        <v>45873</v>
      </c>
      <c r="B40" s="24" t="n">
        <v>-10000</v>
      </c>
      <c r="C40" s="9" t="inlineStr">
        <is>
          <t>MV</t>
        </is>
      </c>
      <c r="D40" s="13" t="n"/>
      <c r="E40" s="10">
        <f>IF(Table2[[#This Row],[Spender]]="YEONG",OFFSET(Table2[[#This Row],[My Actual Balance]],-1,0)-Table2[[#This Row],[Amount]],OFFSET(Table2[[#This Row],[My Actual Balance]],-1,0))</f>
        <v/>
      </c>
      <c r="F40" s="10">
        <f>IF(Table2[[#This Row],[Spender]]="MV",OFFSET(Table2[[#This Row],[MV Balance]],-1,0)-Table2[[#This Row],[Amount]],OFFSET(Table2[[#This Row],[MV Balance]],-1,0))</f>
        <v/>
      </c>
      <c r="G40" s="10">
        <f>SUM(E40:F40)</f>
        <v/>
      </c>
    </row>
    <row r="41">
      <c r="A41" s="8" t="n">
        <v>45904</v>
      </c>
      <c r="B41" s="24" t="n">
        <v>615</v>
      </c>
      <c r="C41" s="9" t="inlineStr">
        <is>
          <t>MV</t>
        </is>
      </c>
      <c r="D41" s="13" t="n"/>
      <c r="E41" s="10">
        <f>IF(Table2[[#This Row],[Spender]]="YEONG",OFFSET(Table2[[#This Row],[My Actual Balance]],-1,0)-Table2[[#This Row],[Amount]],OFFSET(Table2[[#This Row],[My Actual Balance]],-1,0))</f>
        <v/>
      </c>
      <c r="F41" s="10">
        <f>IF(Table2[[#This Row],[Spender]]="MV",OFFSET(Table2[[#This Row],[MV Balance]],-1,0)-Table2[[#This Row],[Amount]],OFFSET(Table2[[#This Row],[MV Balance]],-1,0))</f>
        <v/>
      </c>
      <c r="G41" s="10">
        <f>SUM(E41:F41)</f>
        <v/>
      </c>
    </row>
    <row r="42">
      <c r="A42" s="8" t="n">
        <v>45904</v>
      </c>
      <c r="B42" s="24" t="n">
        <v>537</v>
      </c>
      <c r="C42" s="9" t="inlineStr">
        <is>
          <t>MV</t>
        </is>
      </c>
      <c r="D42" s="13" t="n"/>
      <c r="E42" s="10">
        <f>IF(Table2[[#This Row],[Spender]]="YEONG",OFFSET(Table2[[#This Row],[My Actual Balance]],-1,0)-Table2[[#This Row],[Amount]],OFFSET(Table2[[#This Row],[My Actual Balance]],-1,0))</f>
        <v/>
      </c>
      <c r="F42" s="10">
        <f>IF(Table2[[#This Row],[Spender]]="MV",OFFSET(Table2[[#This Row],[MV Balance]],-1,0)-Table2[[#This Row],[Amount]],OFFSET(Table2[[#This Row],[MV Balance]],-1,0))</f>
        <v/>
      </c>
      <c r="G42" s="10">
        <f>SUM(E42:F42)</f>
        <v/>
      </c>
    </row>
    <row r="43">
      <c r="A43" s="8" t="n">
        <v>45904</v>
      </c>
      <c r="B43" s="24" t="n">
        <v>849</v>
      </c>
      <c r="C43" s="9" t="inlineStr">
        <is>
          <t>MV</t>
        </is>
      </c>
      <c r="D43" s="13" t="n"/>
      <c r="E43" s="10">
        <f>IF(Table2[[#This Row],[Spender]]="YEONG",OFFSET(Table2[[#This Row],[My Actual Balance]],-1,0)-Table2[[#This Row],[Amount]],OFFSET(Table2[[#This Row],[My Actual Balance]],-1,0))</f>
        <v/>
      </c>
      <c r="F43" s="10">
        <f>IF(Table2[[#This Row],[Spender]]="MV",OFFSET(Table2[[#This Row],[MV Balance]],-1,0)-Table2[[#This Row],[Amount]],OFFSET(Table2[[#This Row],[MV Balance]],-1,0))</f>
        <v/>
      </c>
      <c r="G43" s="10">
        <f>SUM(E43:F43)</f>
        <v/>
      </c>
    </row>
    <row r="44">
      <c r="A44" s="8" t="n">
        <v>45904</v>
      </c>
      <c r="B44" s="24" t="n">
        <v>860</v>
      </c>
      <c r="C44" s="9" t="inlineStr">
        <is>
          <t>MV</t>
        </is>
      </c>
      <c r="D44" s="13" t="n"/>
      <c r="E44" s="10">
        <f>IF(Table2[[#This Row],[Spender]]="YEONG",OFFSET(Table2[[#This Row],[My Actual Balance]],-1,0)-Table2[[#This Row],[Amount]],OFFSET(Table2[[#This Row],[My Actual Balance]],-1,0))</f>
        <v/>
      </c>
      <c r="F44" s="10">
        <f>IF(Table2[[#This Row],[Spender]]="MV",OFFSET(Table2[[#This Row],[MV Balance]],-1,0)-Table2[[#This Row],[Amount]],OFFSET(Table2[[#This Row],[MV Balance]],-1,0))</f>
        <v/>
      </c>
      <c r="G44" s="10">
        <f>SUM(E44:F44)</f>
        <v/>
      </c>
    </row>
    <row r="45">
      <c r="A45" s="8" t="n">
        <v>45904</v>
      </c>
      <c r="B45" s="24" t="n">
        <v>1558</v>
      </c>
      <c r="C45" s="9" t="inlineStr">
        <is>
          <t>MV</t>
        </is>
      </c>
      <c r="D45" s="13" t="n"/>
      <c r="E45" s="10">
        <f>IF(Table2[[#This Row],[Spender]]="YEONG",OFFSET(Table2[[#This Row],[My Actual Balance]],-1,0)-Table2[[#This Row],[Amount]],OFFSET(Table2[[#This Row],[My Actual Balance]],-1,0))</f>
        <v/>
      </c>
      <c r="F45" s="10">
        <f>IF(Table2[[#This Row],[Spender]]="MV",OFFSET(Table2[[#This Row],[MV Balance]],-1,0)-Table2[[#This Row],[Amount]],OFFSET(Table2[[#This Row],[MV Balance]],-1,0))</f>
        <v/>
      </c>
      <c r="G45" s="10">
        <f>SUM(E45:F45)</f>
        <v/>
      </c>
    </row>
    <row r="46">
      <c r="A46" s="8" t="n">
        <v>45965</v>
      </c>
      <c r="B46" s="24" t="n">
        <v>730</v>
      </c>
      <c r="C46" s="9" t="inlineStr">
        <is>
          <t>MV</t>
        </is>
      </c>
      <c r="D46" s="13" t="n"/>
      <c r="E46" s="10">
        <f>IF(Table2[[#This Row],[Spender]]="YEONG",OFFSET(Table2[[#This Row],[My Actual Balance]],-1,0)-Table2[[#This Row],[Amount]],OFFSET(Table2[[#This Row],[My Actual Balance]],-1,0))</f>
        <v/>
      </c>
      <c r="F46" s="10">
        <f>IF(Table2[[#This Row],[Spender]]="MV",OFFSET(Table2[[#This Row],[MV Balance]],-1,0)-Table2[[#This Row],[Amount]],OFFSET(Table2[[#This Row],[MV Balance]],-1,0))</f>
        <v/>
      </c>
      <c r="G46" s="10">
        <f>SUM(E46:F46)</f>
        <v/>
      </c>
    </row>
    <row r="47">
      <c r="A47" s="8" t="n">
        <v>45965</v>
      </c>
      <c r="B47" s="24" t="n">
        <v>438</v>
      </c>
      <c r="C47" s="9" t="inlineStr">
        <is>
          <t>MV</t>
        </is>
      </c>
      <c r="D47" s="13" t="n"/>
      <c r="E47" s="10">
        <f>IF(Table2[[#This Row],[Spender]]="YEONG",OFFSET(Table2[[#This Row],[My Actual Balance]],-1,0)-Table2[[#This Row],[Amount]],OFFSET(Table2[[#This Row],[My Actual Balance]],-1,0))</f>
        <v/>
      </c>
      <c r="F47" s="10">
        <f>IF(Table2[[#This Row],[Spender]]="MV",OFFSET(Table2[[#This Row],[MV Balance]],-1,0)-Table2[[#This Row],[Amount]],OFFSET(Table2[[#This Row],[MV Balance]],-1,0))</f>
        <v/>
      </c>
      <c r="G47" s="10">
        <f>SUM(E47:F47)</f>
        <v/>
      </c>
    </row>
    <row r="48">
      <c r="A48" s="8" t="n">
        <v>45768</v>
      </c>
      <c r="B48" s="24" t="n">
        <v>700</v>
      </c>
      <c r="C48" s="11" t="inlineStr">
        <is>
          <t>YEONG</t>
        </is>
      </c>
      <c r="D48" s="14" t="inlineStr">
        <is>
          <t>High Speed Railway Ticket</t>
        </is>
      </c>
      <c r="E48" s="10">
        <f>IF(Table2[[#This Row],[Spender]]="YEONG",OFFSET(Table2[[#This Row],[My Actual Balance]],-1,0)-Table2[[#This Row],[Amount]],OFFSET(Table2[[#This Row],[My Actual Balance]],-1,0))</f>
        <v/>
      </c>
      <c r="F48" s="10">
        <f>IF(Table2[[#This Row],[Spender]]="MV",OFFSET(Table2[[#This Row],[MV Balance]],-1,0)-Table2[[#This Row],[Amount]],OFFSET(Table2[[#This Row],[MV Balance]],-1,0))</f>
        <v/>
      </c>
      <c r="G48" s="10">
        <f>SUM(E48:F48)</f>
        <v/>
      </c>
    </row>
    <row r="49">
      <c r="A49" s="8" t="n">
        <v>45769</v>
      </c>
      <c r="B49" s="24" t="n">
        <v>4055.47</v>
      </c>
      <c r="C49" s="9" t="inlineStr">
        <is>
          <t>MV</t>
        </is>
      </c>
      <c r="D49" s="13" t="n"/>
      <c r="E49" s="10">
        <f>IF(Table2[[#This Row],[Spender]]="YEONG",OFFSET(Table2[[#This Row],[My Actual Balance]],-1,0)-Table2[[#This Row],[Amount]],OFFSET(Table2[[#This Row],[My Actual Balance]],-1,0))</f>
        <v/>
      </c>
      <c r="F49" s="10">
        <f>IF(Table2[[#This Row],[Spender]]="MV",OFFSET(Table2[[#This Row],[MV Balance]],-1,0)-Table2[[#This Row],[Amount]],OFFSET(Table2[[#This Row],[MV Balance]],-1,0))</f>
        <v/>
      </c>
      <c r="G49" s="10">
        <f>SUM(E49:F49)</f>
        <v/>
      </c>
    </row>
    <row r="50">
      <c r="A50" s="8" t="n">
        <v>45769</v>
      </c>
      <c r="B50" s="24" t="n">
        <v>-10000</v>
      </c>
      <c r="C50" s="11" t="inlineStr">
        <is>
          <t>YEONG</t>
        </is>
      </c>
      <c r="D50" s="13" t="n"/>
      <c r="E50" s="10">
        <f>IF(Table2[[#This Row],[Spender]]="YEONG",OFFSET(Table2[[#This Row],[My Actual Balance]],-1,0)-Table2[[#This Row],[Amount]],OFFSET(Table2[[#This Row],[My Actual Balance]],-1,0))</f>
        <v/>
      </c>
      <c r="F50" s="10">
        <f>IF(Table2[[#This Row],[Spender]]="MV",OFFSET(Table2[[#This Row],[MV Balance]],-1,0)-Table2[[#This Row],[Amount]],OFFSET(Table2[[#This Row],[MV Balance]],-1,0))</f>
        <v/>
      </c>
      <c r="G50" s="10">
        <f>SUM(E50:F50)</f>
        <v/>
      </c>
    </row>
    <row r="51">
      <c r="A51" s="8" t="n">
        <v>45772</v>
      </c>
      <c r="B51" s="24" t="n">
        <v>500</v>
      </c>
      <c r="C51" s="11" t="inlineStr">
        <is>
          <t>YEONG</t>
        </is>
      </c>
      <c r="D51" s="14" t="inlineStr">
        <is>
          <t>Yeong Alipay top up</t>
        </is>
      </c>
      <c r="E51" s="10">
        <f>IF(Table2[[#This Row],[Spender]]="YEONG",OFFSET(Table2[[#This Row],[My Actual Balance]],-1,0)-Table2[[#This Row],[Amount]],OFFSET(Table2[[#This Row],[My Actual Balance]],-1,0))</f>
        <v/>
      </c>
      <c r="F51" s="10">
        <f>IF(Table2[[#This Row],[Spender]]="MV",OFFSET(Table2[[#This Row],[MV Balance]],-1,0)-Table2[[#This Row],[Amount]],OFFSET(Table2[[#This Row],[MV Balance]],-1,0))</f>
        <v/>
      </c>
      <c r="G51" s="10">
        <f>SUM(E51:F51)</f>
        <v/>
      </c>
    </row>
    <row r="52">
      <c r="A52" s="8" t="n">
        <v>45772</v>
      </c>
      <c r="B52" s="24" t="n">
        <v>825</v>
      </c>
      <c r="C52" s="9" t="inlineStr">
        <is>
          <t>MV</t>
        </is>
      </c>
      <c r="D52" s="13" t="n"/>
      <c r="E52" s="10">
        <f>IF(Table2[[#This Row],[Spender]]="YEONG",OFFSET(Table2[[#This Row],[My Actual Balance]],-1,0)-Table2[[#This Row],[Amount]],OFFSET(Table2[[#This Row],[My Actual Balance]],-1,0))</f>
        <v/>
      </c>
      <c r="F52" s="10">
        <f>IF(Table2[[#This Row],[Spender]]="MV",OFFSET(Table2[[#This Row],[MV Balance]],-1,0)-Table2[[#This Row],[Amount]],OFFSET(Table2[[#This Row],[MV Balance]],-1,0))</f>
        <v/>
      </c>
      <c r="G52" s="10">
        <f>SUM(E52:F52)</f>
        <v/>
      </c>
    </row>
    <row r="53">
      <c r="A53" s="8" t="n">
        <v>45773</v>
      </c>
      <c r="B53" s="24" t="n">
        <v>500</v>
      </c>
      <c r="C53" s="11" t="inlineStr">
        <is>
          <t>YEONG</t>
        </is>
      </c>
      <c r="D53" s="14" t="inlineStr">
        <is>
          <t>Yeong Alipay top up</t>
        </is>
      </c>
      <c r="E53" s="10">
        <f>IF(Table2[[#This Row],[Spender]]="YEONG",OFFSET(Table2[[#This Row],[My Actual Balance]],-1,0)-Table2[[#This Row],[Amount]],OFFSET(Table2[[#This Row],[My Actual Balance]],-1,0))</f>
        <v/>
      </c>
      <c r="F53" s="10">
        <f>IF(Table2[[#This Row],[Spender]]="MV",OFFSET(Table2[[#This Row],[MV Balance]],-1,0)-Table2[[#This Row],[Amount]],OFFSET(Table2[[#This Row],[MV Balance]],-1,0))</f>
        <v/>
      </c>
      <c r="G53" s="10">
        <f>SUM(E53:F53)</f>
        <v/>
      </c>
    </row>
    <row r="54">
      <c r="A54" s="8" t="n">
        <v>45693</v>
      </c>
      <c r="B54" s="24" t="n">
        <v>500</v>
      </c>
      <c r="C54" s="11" t="inlineStr">
        <is>
          <t>YEONG</t>
        </is>
      </c>
      <c r="D54" s="14" t="inlineStr">
        <is>
          <t>Yeong Alipay top up</t>
        </is>
      </c>
      <c r="E54" s="10">
        <f>IF(Table2[[#This Row],[Spender]]="YEONG",OFFSET(Table2[[#This Row],[My Actual Balance]],-1,0)-Table2[[#This Row],[Amount]],OFFSET(Table2[[#This Row],[My Actual Balance]],-1,0))</f>
        <v/>
      </c>
      <c r="F54" s="10">
        <f>IF(Table2[[#This Row],[Spender]]="MV",OFFSET(Table2[[#This Row],[MV Balance]],-1,0)-Table2[[#This Row],[Amount]],OFFSET(Table2[[#This Row],[MV Balance]],-1,0))</f>
        <v/>
      </c>
      <c r="G54" s="10">
        <f>SUM(E54:F54)</f>
        <v/>
      </c>
    </row>
    <row r="55">
      <c r="A55" s="8" t="n">
        <v>45776</v>
      </c>
      <c r="B55" s="24" t="n">
        <v>-10000</v>
      </c>
      <c r="C55" s="9" t="inlineStr">
        <is>
          <t>MV</t>
        </is>
      </c>
      <c r="D55" s="13" t="n"/>
      <c r="E55" s="10">
        <f>IF(Table2[[#This Row],[Spender]]="YEONG",OFFSET(Table2[[#This Row],[My Actual Balance]],-1,0)-Table2[[#This Row],[Amount]],OFFSET(Table2[[#This Row],[My Actual Balance]],-1,0))</f>
        <v/>
      </c>
      <c r="F55" s="10">
        <f>IF(Table2[[#This Row],[Spender]]="MV",OFFSET(Table2[[#This Row],[MV Balance]],-1,0)-Table2[[#This Row],[Amount]],OFFSET(Table2[[#This Row],[MV Balance]],-1,0))</f>
        <v/>
      </c>
      <c r="G55" s="10">
        <f>SUM(E55:F55)</f>
        <v/>
      </c>
    </row>
    <row r="56">
      <c r="A56" s="8" t="n">
        <v>45776</v>
      </c>
      <c r="B56" s="24" t="n">
        <v>4000</v>
      </c>
      <c r="C56" s="9" t="inlineStr">
        <is>
          <t>MV</t>
        </is>
      </c>
      <c r="D56" s="13" t="n"/>
      <c r="E56" s="10">
        <f>IF(Table2[[#This Row],[Spender]]="YEONG",OFFSET(Table2[[#This Row],[My Actual Balance]],-1,0)-Table2[[#This Row],[Amount]],OFFSET(Table2[[#This Row],[My Actual Balance]],-1,0))</f>
        <v/>
      </c>
      <c r="F56" s="10">
        <f>IF(Table2[[#This Row],[Spender]]="MV",OFFSET(Table2[[#This Row],[MV Balance]],-1,0)-Table2[[#This Row],[Amount]],OFFSET(Table2[[#This Row],[MV Balance]],-1,0))</f>
        <v/>
      </c>
      <c r="G56" s="10">
        <f>SUM(E56:F56)</f>
        <v/>
      </c>
    </row>
    <row r="57">
      <c r="A57" s="8" t="n">
        <v>45776</v>
      </c>
      <c r="B57" s="24" t="n">
        <v>3915</v>
      </c>
      <c r="C57" s="9" t="inlineStr">
        <is>
          <t>MV</t>
        </is>
      </c>
      <c r="D57" s="13" t="n"/>
      <c r="E57" s="10">
        <f>IF(Table2[[#This Row],[Spender]]="YEONG",OFFSET(Table2[[#This Row],[My Actual Balance]],-1,0)-Table2[[#This Row],[Amount]],OFFSET(Table2[[#This Row],[My Actual Balance]],-1,0))</f>
        <v/>
      </c>
      <c r="F57" s="10">
        <f>IF(Table2[[#This Row],[Spender]]="MV",OFFSET(Table2[[#This Row],[MV Balance]],-1,0)-Table2[[#This Row],[Amount]],OFFSET(Table2[[#This Row],[MV Balance]],-1,0))</f>
        <v/>
      </c>
      <c r="G57" s="10">
        <f>SUM(E57:F57)</f>
        <v/>
      </c>
    </row>
    <row r="58">
      <c r="A58" s="8" t="n">
        <v>45752</v>
      </c>
      <c r="B58" s="24" t="n">
        <v>3</v>
      </c>
      <c r="C58" s="11" t="inlineStr">
        <is>
          <t>YEONG</t>
        </is>
      </c>
      <c r="D58" s="14" t="inlineStr">
        <is>
          <t>food</t>
        </is>
      </c>
      <c r="E58" s="10">
        <f>IF(Table2[[#This Row],[Spender]]="YEONG",OFFSET(Table2[[#This Row],[My Actual Balance]],-1,0)-Table2[[#This Row],[Amount]],OFFSET(Table2[[#This Row],[My Actual Balance]],-1,0))</f>
        <v/>
      </c>
      <c r="F58" s="10">
        <f>IF(Table2[[#This Row],[Spender]]="MV",OFFSET(Table2[[#This Row],[MV Balance]],-1,0)-Table2[[#This Row],[Amount]],OFFSET(Table2[[#This Row],[MV Balance]],-1,0))</f>
        <v/>
      </c>
      <c r="G58" s="10">
        <f>SUM(E58:F58)</f>
        <v/>
      </c>
    </row>
    <row r="59">
      <c r="A59" s="8" t="n">
        <v>45782</v>
      </c>
      <c r="B59" s="24" t="n">
        <v>118</v>
      </c>
      <c r="C59" s="11" t="inlineStr">
        <is>
          <t>YEONG</t>
        </is>
      </c>
      <c r="D59" s="13" t="n"/>
      <c r="E59" s="10">
        <f>IF(Table2[[#This Row],[Spender]]="YEONG",OFFSET(Table2[[#This Row],[My Actual Balance]],-1,0)-Table2[[#This Row],[Amount]],OFFSET(Table2[[#This Row],[My Actual Balance]],-1,0))</f>
        <v/>
      </c>
      <c r="F59" s="10">
        <f>IF(Table2[[#This Row],[Spender]]="MV",OFFSET(Table2[[#This Row],[MV Balance]],-1,0)-Table2[[#This Row],[Amount]],OFFSET(Table2[[#This Row],[MV Balance]],-1,0))</f>
        <v/>
      </c>
      <c r="G59" s="10">
        <f>SUM(E59:F59)</f>
        <v/>
      </c>
    </row>
    <row r="60">
      <c r="A60" s="8" t="n">
        <v>45813</v>
      </c>
      <c r="B60" s="24" t="n">
        <v>68</v>
      </c>
      <c r="C60" s="11" t="inlineStr">
        <is>
          <t>YEONG</t>
        </is>
      </c>
      <c r="D60" s="14" t="inlineStr">
        <is>
          <t>SBUX Vouchers</t>
        </is>
      </c>
      <c r="E60" s="10">
        <f>IF(Table2[[#This Row],[Spender]]="YEONG",OFFSET(Table2[[#This Row],[My Actual Balance]],-1,0)-Table2[[#This Row],[Amount]],OFFSET(Table2[[#This Row],[My Actual Balance]],-1,0))</f>
        <v/>
      </c>
      <c r="F60" s="10">
        <f>IF(Table2[[#This Row],[Spender]]="MV",OFFSET(Table2[[#This Row],[MV Balance]],-1,0)-Table2[[#This Row],[Amount]],OFFSET(Table2[[#This Row],[MV Balance]],-1,0))</f>
        <v/>
      </c>
      <c r="G60" s="10">
        <f>SUM(E60:F60)</f>
        <v/>
      </c>
    </row>
    <row r="61">
      <c r="A61" s="8" t="n">
        <v>45843</v>
      </c>
      <c r="B61" s="24" t="n">
        <v>2029.64</v>
      </c>
      <c r="C61" s="9" t="inlineStr">
        <is>
          <t>MV</t>
        </is>
      </c>
      <c r="D61" s="13" t="n"/>
      <c r="E61" s="10">
        <f>IF(Table2[[#This Row],[Spender]]="YEONG",OFFSET(Table2[[#This Row],[My Actual Balance]],-1,0)-Table2[[#This Row],[Amount]],OFFSET(Table2[[#This Row],[My Actual Balance]],-1,0))</f>
        <v/>
      </c>
      <c r="F61" s="10">
        <f>IF(Table2[[#This Row],[Spender]]="MV",OFFSET(Table2[[#This Row],[MV Balance]],-1,0)-Table2[[#This Row],[Amount]],OFFSET(Table2[[#This Row],[MV Balance]],-1,0))</f>
        <v/>
      </c>
      <c r="G61" s="10">
        <f>SUM(E61:F61)</f>
        <v/>
      </c>
    </row>
    <row r="62">
      <c r="A62" s="8" t="n">
        <v>45843</v>
      </c>
      <c r="B62" s="24" t="n">
        <v>1228.78</v>
      </c>
      <c r="C62" s="11" t="inlineStr">
        <is>
          <t>YEONG</t>
        </is>
      </c>
      <c r="D62" s="14" t="inlineStr">
        <is>
          <t>EXPENSES</t>
        </is>
      </c>
      <c r="E62" s="10">
        <f>IF(Table2[[#This Row],[Spender]]="YEONG",OFFSET(Table2[[#This Row],[My Actual Balance]],-1,0)-Table2[[#This Row],[Amount]],OFFSET(Table2[[#This Row],[My Actual Balance]],-1,0))</f>
        <v/>
      </c>
      <c r="F62" s="10">
        <f>IF(Table2[[#This Row],[Spender]]="MV",OFFSET(Table2[[#This Row],[MV Balance]],-1,0)-Table2[[#This Row],[Amount]],OFFSET(Table2[[#This Row],[MV Balance]],-1,0))</f>
        <v/>
      </c>
      <c r="G62" s="10">
        <f>SUM(E62:F62)</f>
        <v/>
      </c>
    </row>
    <row r="63">
      <c r="A63" s="8" t="n">
        <v>45874</v>
      </c>
      <c r="B63" s="24" t="n">
        <v>32</v>
      </c>
      <c r="C63" s="11" t="inlineStr">
        <is>
          <t>YEONG</t>
        </is>
      </c>
      <c r="D63" s="13" t="n"/>
      <c r="E63" s="10">
        <f>IF(Table2[[#This Row],[Spender]]="YEONG",OFFSET(Table2[[#This Row],[My Actual Balance]],-1,0)-Table2[[#This Row],[Amount]],OFFSET(Table2[[#This Row],[My Actual Balance]],-1,0))</f>
        <v/>
      </c>
      <c r="F63" s="10">
        <f>IF(Table2[[#This Row],[Spender]]="MV",OFFSET(Table2[[#This Row],[MV Balance]],-1,0)-Table2[[#This Row],[Amount]],OFFSET(Table2[[#This Row],[MV Balance]],-1,0))</f>
        <v/>
      </c>
      <c r="G63" s="10">
        <f>SUM(E63:F63)</f>
        <v/>
      </c>
    </row>
    <row r="64">
      <c r="A64" s="8" t="n">
        <v>45874</v>
      </c>
      <c r="B64" s="24" t="n">
        <v>15</v>
      </c>
      <c r="C64" s="11" t="inlineStr">
        <is>
          <t>YEONG</t>
        </is>
      </c>
      <c r="D64" s="13" t="n"/>
      <c r="E64" s="10">
        <f>IF(Table2[[#This Row],[Spender]]="YEONG",OFFSET(Table2[[#This Row],[My Actual Balance]],-1,0)-Table2[[#This Row],[Amount]],OFFSET(Table2[[#This Row],[My Actual Balance]],-1,0))</f>
        <v/>
      </c>
      <c r="F64" s="10">
        <f>IF(Table2[[#This Row],[Spender]]="MV",OFFSET(Table2[[#This Row],[MV Balance]],-1,0)-Table2[[#This Row],[Amount]],OFFSET(Table2[[#This Row],[MV Balance]],-1,0))</f>
        <v/>
      </c>
      <c r="G64" s="10">
        <f>SUM(E64:F64)</f>
        <v/>
      </c>
    </row>
    <row r="65">
      <c r="A65" s="8" t="n">
        <v>45874</v>
      </c>
      <c r="B65" s="24" t="n">
        <v>-10000</v>
      </c>
      <c r="C65" s="9" t="inlineStr">
        <is>
          <t>MV</t>
        </is>
      </c>
      <c r="D65" s="13" t="n"/>
      <c r="E65" s="10">
        <f>IF(Table2[[#This Row],[Spender]]="YEONG",OFFSET(Table2[[#This Row],[My Actual Balance]],-1,0)-Table2[[#This Row],[Amount]],OFFSET(Table2[[#This Row],[My Actual Balance]],-1,0))</f>
        <v/>
      </c>
      <c r="F65" s="10">
        <f>IF(Table2[[#This Row],[Spender]]="MV",OFFSET(Table2[[#This Row],[MV Balance]],-1,0)-Table2[[#This Row],[Amount]],OFFSET(Table2[[#This Row],[MV Balance]],-1,0))</f>
        <v/>
      </c>
      <c r="G65" s="10">
        <f>SUM(E65:F65)</f>
        <v/>
      </c>
    </row>
    <row r="66">
      <c r="A66" s="8" t="n">
        <v>45905</v>
      </c>
      <c r="B66" s="24" t="n">
        <v>16.5</v>
      </c>
      <c r="C66" s="11" t="inlineStr">
        <is>
          <t>YEONG</t>
        </is>
      </c>
      <c r="D66" s="13" t="n"/>
      <c r="E66" s="10">
        <f>IF(Table2[[#This Row],[Spender]]="YEONG",OFFSET(Table2[[#This Row],[My Actual Balance]],-1,0)-Table2[[#This Row],[Amount]],OFFSET(Table2[[#This Row],[My Actual Balance]],-1,0))</f>
        <v/>
      </c>
      <c r="F66" s="10">
        <f>IF(Table2[[#This Row],[Spender]]="MV",OFFSET(Table2[[#This Row],[MV Balance]],-1,0)-Table2[[#This Row],[Amount]],OFFSET(Table2[[#This Row],[MV Balance]],-1,0))</f>
        <v/>
      </c>
      <c r="G66" s="10">
        <f>SUM(E66:F66)</f>
        <v/>
      </c>
    </row>
    <row r="67">
      <c r="A67" s="8" t="n">
        <v>45905</v>
      </c>
      <c r="B67" s="24" t="n">
        <v>3384</v>
      </c>
      <c r="C67" s="9" t="inlineStr">
        <is>
          <t>MV</t>
        </is>
      </c>
      <c r="D67" s="13" t="n"/>
      <c r="E67" s="10">
        <f>IF(Table2[[#This Row],[Spender]]="YEONG",OFFSET(Table2[[#This Row],[My Actual Balance]],-1,0)-Table2[[#This Row],[Amount]],OFFSET(Table2[[#This Row],[My Actual Balance]],-1,0))</f>
        <v/>
      </c>
      <c r="F67" s="10">
        <f>IF(Table2[[#This Row],[Spender]]="MV",OFFSET(Table2[[#This Row],[MV Balance]],-1,0)-Table2[[#This Row],[Amount]],OFFSET(Table2[[#This Row],[MV Balance]],-1,0))</f>
        <v/>
      </c>
      <c r="G67" s="10">
        <f>SUM(E67:F67)</f>
        <v/>
      </c>
    </row>
    <row r="68">
      <c r="A68" s="8" t="n">
        <v>45905</v>
      </c>
      <c r="B68" s="24" t="n">
        <v>750</v>
      </c>
      <c r="C68" s="9" t="inlineStr">
        <is>
          <t>MV</t>
        </is>
      </c>
      <c r="D68" s="13" t="n"/>
      <c r="E68" s="10">
        <f>IF(Table2[[#This Row],[Spender]]="YEONG",OFFSET(Table2[[#This Row],[My Actual Balance]],-1,0)-Table2[[#This Row],[Amount]],OFFSET(Table2[[#This Row],[My Actual Balance]],-1,0))</f>
        <v/>
      </c>
      <c r="F68" s="10">
        <f>IF(Table2[[#This Row],[Spender]]="MV",OFFSET(Table2[[#This Row],[MV Balance]],-1,0)-Table2[[#This Row],[Amount]],OFFSET(Table2[[#This Row],[MV Balance]],-1,0))</f>
        <v/>
      </c>
      <c r="G68" s="10">
        <f>SUM(E68:F68)</f>
        <v/>
      </c>
    </row>
    <row r="69">
      <c r="A69" s="8" t="n">
        <v>45905</v>
      </c>
      <c r="B69" s="24" t="n">
        <v>30</v>
      </c>
      <c r="C69" s="11" t="inlineStr">
        <is>
          <t>YEONG</t>
        </is>
      </c>
      <c r="D69" s="13" t="n"/>
      <c r="E69" s="10">
        <f>IF(Table2[[#This Row],[Spender]]="YEONG",OFFSET(Table2[[#This Row],[My Actual Balance]],-1,0)-Table2[[#This Row],[Amount]],OFFSET(Table2[[#This Row],[My Actual Balance]],-1,0))</f>
        <v/>
      </c>
      <c r="F69" s="10">
        <f>IF(Table2[[#This Row],[Spender]]="MV",OFFSET(Table2[[#This Row],[MV Balance]],-1,0)-Table2[[#This Row],[Amount]],OFFSET(Table2[[#This Row],[MV Balance]],-1,0))</f>
        <v/>
      </c>
      <c r="G69" s="10">
        <f>SUM(E69:F69)</f>
        <v/>
      </c>
    </row>
    <row r="70">
      <c r="A70" s="8" t="n">
        <v>45996</v>
      </c>
      <c r="B70" s="24" t="n">
        <v>5866</v>
      </c>
      <c r="C70" s="9" t="inlineStr">
        <is>
          <t>MV</t>
        </is>
      </c>
      <c r="D70" s="13" t="n"/>
      <c r="E70" s="10">
        <f>IF(Table2[[#This Row],[Spender]]="YEONG",OFFSET(Table2[[#This Row],[My Actual Balance]],-1,0)-Table2[[#This Row],[Amount]],OFFSET(Table2[[#This Row],[My Actual Balance]],-1,0))</f>
        <v/>
      </c>
      <c r="F70" s="10">
        <f>IF(Table2[[#This Row],[Spender]]="MV",OFFSET(Table2[[#This Row],[MV Balance]],-1,0)-Table2[[#This Row],[Amount]],OFFSET(Table2[[#This Row],[MV Balance]],-1,0))</f>
        <v/>
      </c>
      <c r="G70" s="10">
        <f>SUM(E70:F70)</f>
        <v/>
      </c>
    </row>
    <row r="71">
      <c r="A71" s="8" t="n">
        <v>45790</v>
      </c>
      <c r="B71" s="24" t="n">
        <v>753.23</v>
      </c>
      <c r="C71" s="11" t="inlineStr">
        <is>
          <t>YEONG</t>
        </is>
      </c>
      <c r="D71" s="14" t="inlineStr">
        <is>
          <t>EXPENSES</t>
        </is>
      </c>
      <c r="E71" s="10">
        <f>IF(Table2[[#This Row],[Spender]]="YEONG",OFFSET(Table2[[#This Row],[My Actual Balance]],-1,0)-Table2[[#This Row],[Amount]],OFFSET(Table2[[#This Row],[My Actual Balance]],-1,0))</f>
        <v/>
      </c>
      <c r="F71" s="10">
        <f>IF(Table2[[#This Row],[Spender]]="MV",OFFSET(Table2[[#This Row],[MV Balance]],-1,0)-Table2[[#This Row],[Amount]],OFFSET(Table2[[#This Row],[MV Balance]],-1,0))</f>
        <v/>
      </c>
      <c r="G71" s="10">
        <f>SUM(E71:F71)</f>
        <v/>
      </c>
    </row>
    <row r="72">
      <c r="A72" s="8" t="n">
        <v>45792</v>
      </c>
      <c r="B72" s="24" t="n">
        <v>31.41</v>
      </c>
      <c r="C72" s="11" t="inlineStr">
        <is>
          <t>YEONG</t>
        </is>
      </c>
      <c r="D72" s="14" t="inlineStr">
        <is>
          <t>Food</t>
        </is>
      </c>
      <c r="E72" s="10">
        <f>IF(Table2[[#This Row],[Spender]]="YEONG",OFFSET(Table2[[#This Row],[My Actual Balance]],-1,0)-Table2[[#This Row],[Amount]],OFFSET(Table2[[#This Row],[My Actual Balance]],-1,0))</f>
        <v/>
      </c>
      <c r="F72" s="10">
        <f>IF(Table2[[#This Row],[Spender]]="MV",OFFSET(Table2[[#This Row],[MV Balance]],-1,0)-Table2[[#This Row],[Amount]],OFFSET(Table2[[#This Row],[MV Balance]],-1,0))</f>
        <v/>
      </c>
      <c r="G72" s="10">
        <f>SUM(E72:F72)</f>
        <v/>
      </c>
    </row>
    <row r="73">
      <c r="A73" s="8" t="n">
        <v>45793</v>
      </c>
      <c r="B73" s="24" t="n">
        <v>-10000</v>
      </c>
      <c r="C73" s="9" t="inlineStr">
        <is>
          <t>MV</t>
        </is>
      </c>
      <c r="D73" s="14" t="inlineStr">
        <is>
          <t>Top up</t>
        </is>
      </c>
      <c r="E73" s="10">
        <f>IF(Table2[[#This Row],[Spender]]="YEONG",OFFSET(Table2[[#This Row],[My Actual Balance]],-1,0)-Table2[[#This Row],[Amount]],OFFSET(Table2[[#This Row],[My Actual Balance]],-1,0))</f>
        <v/>
      </c>
      <c r="F73" s="10">
        <f>IF(Table2[[#This Row],[Spender]]="MV",OFFSET(Table2[[#This Row],[MV Balance]],-1,0)-Table2[[#This Row],[Amount]],OFFSET(Table2[[#This Row],[MV Balance]],-1,0))</f>
        <v/>
      </c>
      <c r="G73" s="10">
        <f>SUM(E73:F73)</f>
        <v/>
      </c>
    </row>
    <row r="74">
      <c r="A74" s="8" t="n">
        <v>45794</v>
      </c>
      <c r="B74" s="24" t="n">
        <v>811.5</v>
      </c>
      <c r="C74" s="9" t="inlineStr">
        <is>
          <t>MV</t>
        </is>
      </c>
      <c r="D74" s="13" t="n"/>
      <c r="E74" s="10">
        <f>IF(Table2[[#This Row],[Spender]]="YEONG",OFFSET(Table2[[#This Row],[My Actual Balance]],-1,0)-Table2[[#This Row],[Amount]],OFFSET(Table2[[#This Row],[My Actual Balance]],-1,0))</f>
        <v/>
      </c>
      <c r="F74" s="10">
        <f>IF(Table2[[#This Row],[Spender]]="MV",OFFSET(Table2[[#This Row],[MV Balance]],-1,0)-Table2[[#This Row],[Amount]],OFFSET(Table2[[#This Row],[MV Balance]],-1,0))</f>
        <v/>
      </c>
      <c r="G74" s="10">
        <f>SUM(E74:F74)</f>
        <v/>
      </c>
    </row>
    <row r="75">
      <c r="A75" s="8" t="n">
        <v>45794</v>
      </c>
      <c r="B75" s="24" t="n">
        <v>1010</v>
      </c>
      <c r="C75" s="9" t="inlineStr">
        <is>
          <t>MV</t>
        </is>
      </c>
      <c r="D75" s="13" t="n"/>
      <c r="E75" s="10">
        <f>IF(Table2[[#This Row],[Spender]]="YEONG",OFFSET(Table2[[#This Row],[My Actual Balance]],-1,0)-Table2[[#This Row],[Amount]],OFFSET(Table2[[#This Row],[My Actual Balance]],-1,0))</f>
        <v/>
      </c>
      <c r="F75" s="10">
        <f>IF(Table2[[#This Row],[Spender]]="MV",OFFSET(Table2[[#This Row],[MV Balance]],-1,0)-Table2[[#This Row],[Amount]],OFFSET(Table2[[#This Row],[MV Balance]],-1,0))</f>
        <v/>
      </c>
      <c r="G75" s="10">
        <f>SUM(E75:F75)</f>
        <v/>
      </c>
    </row>
    <row r="76">
      <c r="A76" s="8" t="n">
        <v>45795</v>
      </c>
      <c r="B76" s="24" t="n">
        <v>70</v>
      </c>
      <c r="C76" s="11" t="inlineStr">
        <is>
          <t>YEONG</t>
        </is>
      </c>
      <c r="D76" s="14" t="inlineStr">
        <is>
          <t>flower</t>
        </is>
      </c>
      <c r="E76" s="10">
        <f>IF(Table2[[#This Row],[Spender]]="YEONG",OFFSET(Table2[[#This Row],[My Actual Balance]],-1,0)-Table2[[#This Row],[Amount]],OFFSET(Table2[[#This Row],[My Actual Balance]],-1,0))</f>
        <v/>
      </c>
      <c r="F76" s="10">
        <f>IF(Table2[[#This Row],[Spender]]="MV",OFFSET(Table2[[#This Row],[MV Balance]],-1,0)-Table2[[#This Row],[Amount]],OFFSET(Table2[[#This Row],[MV Balance]],-1,0))</f>
        <v/>
      </c>
      <c r="G76" s="10">
        <f>SUM(E76:F76)</f>
        <v/>
      </c>
    </row>
    <row r="77">
      <c r="A77" s="8" t="n">
        <v>45796</v>
      </c>
      <c r="B77" s="24" t="n">
        <v>1000</v>
      </c>
      <c r="C77" s="9" t="inlineStr">
        <is>
          <t>MV</t>
        </is>
      </c>
      <c r="D77" s="13" t="n"/>
      <c r="E77" s="10">
        <f>IF(Table2[[#This Row],[Spender]]="YEONG",OFFSET(Table2[[#This Row],[My Actual Balance]],-1,0)-Table2[[#This Row],[Amount]],OFFSET(Table2[[#This Row],[My Actual Balance]],-1,0))</f>
        <v/>
      </c>
      <c r="F77" s="10">
        <f>IF(Table2[[#This Row],[Spender]]="MV",OFFSET(Table2[[#This Row],[MV Balance]],-1,0)-Table2[[#This Row],[Amount]],OFFSET(Table2[[#This Row],[MV Balance]],-1,0))</f>
        <v/>
      </c>
      <c r="G77" s="10">
        <f>SUM(E77:F77)</f>
        <v/>
      </c>
    </row>
    <row r="78">
      <c r="A78" s="8" t="n">
        <v>45797</v>
      </c>
      <c r="B78" s="24" t="n">
        <v>1050</v>
      </c>
      <c r="C78" s="9" t="inlineStr">
        <is>
          <t>MV</t>
        </is>
      </c>
      <c r="D78" s="13" t="n"/>
      <c r="E78" s="10">
        <f>IF(Table2[[#This Row],[Spender]]="YEONG",OFFSET(Table2[[#This Row],[My Actual Balance]],-1,0)-Table2[[#This Row],[Amount]],OFFSET(Table2[[#This Row],[My Actual Balance]],-1,0))</f>
        <v/>
      </c>
      <c r="F78" s="10">
        <f>IF(Table2[[#This Row],[Spender]]="MV",OFFSET(Table2[[#This Row],[MV Balance]],-1,0)-Table2[[#This Row],[Amount]],OFFSET(Table2[[#This Row],[MV Balance]],-1,0))</f>
        <v/>
      </c>
      <c r="G78" s="10">
        <f>SUM(E78:F78)</f>
        <v/>
      </c>
    </row>
    <row r="79">
      <c r="A79" s="8" t="n">
        <v>45797</v>
      </c>
      <c r="B79" s="24" t="n">
        <v>830</v>
      </c>
      <c r="C79" s="9" t="inlineStr">
        <is>
          <t>MV</t>
        </is>
      </c>
      <c r="D79" s="13" t="n"/>
      <c r="E79" s="10">
        <f>IF(Table2[[#This Row],[Spender]]="YEONG",OFFSET(Table2[[#This Row],[My Actual Balance]],-1,0)-Table2[[#This Row],[Amount]],OFFSET(Table2[[#This Row],[My Actual Balance]],-1,0))</f>
        <v/>
      </c>
      <c r="F79" s="10">
        <f>IF(Table2[[#This Row],[Spender]]="MV",OFFSET(Table2[[#This Row],[MV Balance]],-1,0)-Table2[[#This Row],[Amount]],OFFSET(Table2[[#This Row],[MV Balance]],-1,0))</f>
        <v/>
      </c>
      <c r="G79" s="10">
        <f>SUM(E79:F79)</f>
        <v/>
      </c>
    </row>
    <row r="80">
      <c r="A80" s="8" t="n">
        <v>45800</v>
      </c>
      <c r="B80" s="24" t="n">
        <v>790</v>
      </c>
      <c r="C80" s="9" t="inlineStr">
        <is>
          <t>MV</t>
        </is>
      </c>
      <c r="D80" s="13" t="n"/>
      <c r="E80" s="10">
        <f>IF(Table2[[#This Row],[Spender]]="YEONG",OFFSET(Table2[[#This Row],[My Actual Balance]],-1,0)-Table2[[#This Row],[Amount]],OFFSET(Table2[[#This Row],[My Actual Balance]],-1,0))</f>
        <v/>
      </c>
      <c r="F80" s="10">
        <f>IF(Table2[[#This Row],[Spender]]="MV",OFFSET(Table2[[#This Row],[MV Balance]],-1,0)-Table2[[#This Row],[Amount]],OFFSET(Table2[[#This Row],[MV Balance]],-1,0))</f>
        <v/>
      </c>
      <c r="G80" s="10">
        <f>SUM(E80:F80)</f>
        <v/>
      </c>
    </row>
    <row r="81">
      <c r="A81" s="8" t="n">
        <v>45800</v>
      </c>
      <c r="B81" s="24" t="n">
        <v>645</v>
      </c>
      <c r="C81" s="9" t="inlineStr">
        <is>
          <t>MV</t>
        </is>
      </c>
      <c r="D81" s="13" t="n"/>
      <c r="E81" s="10">
        <f>IF(Table2[[#This Row],[Spender]]="YEONG",OFFSET(Table2[[#This Row],[My Actual Balance]],-1,0)-Table2[[#This Row],[Amount]],OFFSET(Table2[[#This Row],[My Actual Balance]],-1,0))</f>
        <v/>
      </c>
      <c r="F81" s="10">
        <f>IF(Table2[[#This Row],[Spender]]="MV",OFFSET(Table2[[#This Row],[MV Balance]],-1,0)-Table2[[#This Row],[Amount]],OFFSET(Table2[[#This Row],[MV Balance]],-1,0))</f>
        <v/>
      </c>
      <c r="G81" s="10">
        <f>SUM(E81:F81)</f>
        <v/>
      </c>
    </row>
    <row r="82">
      <c r="A82" s="8" t="n">
        <v>45805</v>
      </c>
      <c r="B82" s="24" t="n">
        <v>540</v>
      </c>
      <c r="C82" s="9" t="inlineStr">
        <is>
          <t>MV</t>
        </is>
      </c>
      <c r="D82" s="14" t="inlineStr">
        <is>
          <t>4359182976154544919</t>
        </is>
      </c>
      <c r="E82" s="10">
        <f>IF(Table2[[#This Row],[Spender]]="YEONG",OFFSET(Table2[[#This Row],[My Actual Balance]],-1,0)-Table2[[#This Row],[Amount]],OFFSET(Table2[[#This Row],[My Actual Balance]],-1,0))</f>
        <v/>
      </c>
      <c r="F82" s="10">
        <f>IF(Table2[[#This Row],[Spender]]="MV",OFFSET(Table2[[#This Row],[MV Balance]],-1,0)-Table2[[#This Row],[Amount]],OFFSET(Table2[[#This Row],[MV Balance]],-1,0))</f>
        <v/>
      </c>
      <c r="G82" s="10">
        <f>SUM(E82:F82)</f>
        <v/>
      </c>
    </row>
    <row r="83">
      <c r="A83" s="8" t="n">
        <v>45805</v>
      </c>
      <c r="B83" s="24" t="n">
        <v>928</v>
      </c>
      <c r="C83" s="9" t="inlineStr">
        <is>
          <t>MV</t>
        </is>
      </c>
      <c r="D83" s="14" t="inlineStr">
        <is>
          <t>4358771893425544919</t>
        </is>
      </c>
      <c r="E83" s="10">
        <f>IF(Table2[[#This Row],[Spender]]="YEONG",OFFSET(Table2[[#This Row],[My Actual Balance]],-1,0)-Table2[[#This Row],[Amount]],OFFSET(Table2[[#This Row],[My Actual Balance]],-1,0))</f>
        <v/>
      </c>
      <c r="F83" s="10">
        <f>IF(Table2[[#This Row],[Spender]]="MV",OFFSET(Table2[[#This Row],[MV Balance]],-1,0)-Table2[[#This Row],[Amount]],OFFSET(Table2[[#This Row],[MV Balance]],-1,0))</f>
        <v/>
      </c>
      <c r="G83" s="10">
        <f>SUM(E83:F83)</f>
        <v/>
      </c>
    </row>
    <row r="84">
      <c r="A84" s="8" t="n">
        <v>45805</v>
      </c>
      <c r="B84" s="24" t="n">
        <v>672</v>
      </c>
      <c r="C84" s="9" t="inlineStr">
        <is>
          <t>MV</t>
        </is>
      </c>
      <c r="D84" s="14" t="inlineStr">
        <is>
          <t>4359117026785544919</t>
        </is>
      </c>
      <c r="E84" s="10">
        <f>IF(Table2[[#This Row],[Spender]]="YEONG",OFFSET(Table2[[#This Row],[My Actual Balance]],-1,0)-Table2[[#This Row],[Amount]],OFFSET(Table2[[#This Row],[My Actual Balance]],-1,0))</f>
        <v/>
      </c>
      <c r="F84" s="10">
        <f>IF(Table2[[#This Row],[Spender]]="MV",OFFSET(Table2[[#This Row],[MV Balance]],-1,0)-Table2[[#This Row],[Amount]],OFFSET(Table2[[#This Row],[MV Balance]],-1,0))</f>
        <v/>
      </c>
      <c r="G84" s="10">
        <f>SUM(E84:F84)</f>
        <v/>
      </c>
    </row>
    <row r="85">
      <c r="A85" s="8" t="n">
        <v>45805</v>
      </c>
      <c r="B85" s="24" t="n">
        <v>825</v>
      </c>
      <c r="C85" s="9" t="inlineStr">
        <is>
          <t>MV</t>
        </is>
      </c>
      <c r="D85" s="14" t="inlineStr">
        <is>
          <t>4359175308748544919</t>
        </is>
      </c>
      <c r="E85" s="10">
        <f>IF(Table2[[#This Row],[Spender]]="YEONG",OFFSET(Table2[[#This Row],[My Actual Balance]],-1,0)-Table2[[#This Row],[Amount]],OFFSET(Table2[[#This Row],[My Actual Balance]],-1,0))</f>
        <v/>
      </c>
      <c r="F85" s="10">
        <f>IF(Table2[[#This Row],[Spender]]="MV",OFFSET(Table2[[#This Row],[MV Balance]],-1,0)-Table2[[#This Row],[Amount]],OFFSET(Table2[[#This Row],[MV Balance]],-1,0))</f>
        <v/>
      </c>
      <c r="G85" s="10">
        <f>SUM(E85:F85)</f>
        <v/>
      </c>
    </row>
    <row r="86">
      <c r="A86" s="8" t="n">
        <v>45806</v>
      </c>
      <c r="B86" s="24" t="n">
        <v>20.75</v>
      </c>
      <c r="C86" s="11" t="inlineStr">
        <is>
          <t>YEONG</t>
        </is>
      </c>
      <c r="D86" s="14" t="inlineStr">
        <is>
          <t>Food</t>
        </is>
      </c>
      <c r="E86" s="10">
        <f>IF(Table2[[#This Row],[Spender]]="YEONG",OFFSET(Table2[[#This Row],[My Actual Balance]],-1,0)-Table2[[#This Row],[Amount]],OFFSET(Table2[[#This Row],[My Actual Balance]],-1,0))</f>
        <v/>
      </c>
      <c r="F86" s="10">
        <f>IF(Table2[[#This Row],[Spender]]="MV",OFFSET(Table2[[#This Row],[MV Balance]],-1,0)-Table2[[#This Row],[Amount]],OFFSET(Table2[[#This Row],[MV Balance]],-1,0))</f>
        <v/>
      </c>
      <c r="G86" s="10">
        <f>SUM(E86:F86)</f>
        <v/>
      </c>
    </row>
    <row r="87">
      <c r="A87" s="8" t="n">
        <v>45807</v>
      </c>
      <c r="B87" s="24" t="n">
        <v>898.5</v>
      </c>
      <c r="C87" s="9" t="inlineStr">
        <is>
          <t>MV</t>
        </is>
      </c>
      <c r="D87" s="14" t="inlineStr">
        <is>
          <t>Too up to alipay</t>
        </is>
      </c>
      <c r="E87" s="10">
        <f>IF(Table2[[#This Row],[Spender]]="YEONG",OFFSET(Table2[[#This Row],[My Actual Balance]],-1,0)-Table2[[#This Row],[Amount]],OFFSET(Table2[[#This Row],[My Actual Balance]],-1,0))</f>
        <v/>
      </c>
      <c r="F87" s="10">
        <f>IF(Table2[[#This Row],[Spender]]="MV",OFFSET(Table2[[#This Row],[MV Balance]],-1,0)-Table2[[#This Row],[Amount]],OFFSET(Table2[[#This Row],[MV Balance]],-1,0))</f>
        <v/>
      </c>
      <c r="G87" s="10">
        <f>SUM(E87:F87)</f>
        <v/>
      </c>
    </row>
    <row r="88">
      <c r="A88" s="8" t="n">
        <v>45753</v>
      </c>
      <c r="B88" s="24" t="n">
        <v>842.5</v>
      </c>
      <c r="C88" s="9" t="inlineStr">
        <is>
          <t>MV</t>
        </is>
      </c>
      <c r="D88" s="13" t="n"/>
      <c r="E88" s="10">
        <f>IF(Table2[[#This Row],[Spender]]="YEONG",OFFSET(Table2[[#This Row],[My Actual Balance]],-1,0)-Table2[[#This Row],[Amount]],OFFSET(Table2[[#This Row],[My Actual Balance]],-1,0))</f>
        <v/>
      </c>
      <c r="F88" s="10">
        <f>IF(Table2[[#This Row],[Spender]]="MV",OFFSET(Table2[[#This Row],[MV Balance]],-1,0)-Table2[[#This Row],[Amount]],OFFSET(Table2[[#This Row],[MV Balance]],-1,0))</f>
        <v/>
      </c>
      <c r="G88" s="10">
        <f>SUM(E88:F88)</f>
        <v/>
      </c>
    </row>
    <row r="89">
      <c r="A89" s="8" t="n">
        <v>45753</v>
      </c>
      <c r="B89" s="24" t="n">
        <v>-10000</v>
      </c>
      <c r="C89" s="9" t="inlineStr">
        <is>
          <t>MV</t>
        </is>
      </c>
      <c r="D89" s="13" t="n"/>
      <c r="E89" s="10">
        <f>IF(Table2[[#This Row],[Spender]]="YEONG",OFFSET(Table2[[#This Row],[My Actual Balance]],-1,0)-Table2[[#This Row],[Amount]],OFFSET(Table2[[#This Row],[My Actual Balance]],-1,0))</f>
        <v/>
      </c>
      <c r="F89" s="10">
        <f>IF(Table2[[#This Row],[Spender]]="MV",OFFSET(Table2[[#This Row],[MV Balance]],-1,0)-Table2[[#This Row],[Amount]],OFFSET(Table2[[#This Row],[MV Balance]],-1,0))</f>
        <v/>
      </c>
      <c r="G89" s="10">
        <f>SUM(E89:F89)</f>
        <v/>
      </c>
    </row>
    <row r="90">
      <c r="A90" s="8" t="n">
        <v>45783</v>
      </c>
      <c r="B90" s="24" t="n">
        <v>2900</v>
      </c>
      <c r="C90" s="9" t="inlineStr">
        <is>
          <t>MV</t>
        </is>
      </c>
      <c r="D90" s="14" t="inlineStr">
        <is>
          <t>4372535882749544919</t>
        </is>
      </c>
      <c r="E90" s="10">
        <f>IF(Table2[[#This Row],[Spender]]="YEONG",OFFSET(Table2[[#This Row],[My Actual Balance]],-1,0)-Table2[[#This Row],[Amount]],OFFSET(Table2[[#This Row],[My Actual Balance]],-1,0))</f>
        <v/>
      </c>
      <c r="F90" s="10">
        <f>IF(Table2[[#This Row],[Spender]]="MV",OFFSET(Table2[[#This Row],[MV Balance]],-1,0)-Table2[[#This Row],[Amount]],OFFSET(Table2[[#This Row],[MV Balance]],-1,0))</f>
        <v/>
      </c>
      <c r="G90" s="10">
        <f>SUM(E90:F90)</f>
        <v/>
      </c>
    </row>
    <row r="91">
      <c r="A91" s="8" t="n">
        <v>45783</v>
      </c>
      <c r="B91" s="24" t="n">
        <v>25.84</v>
      </c>
      <c r="C91" s="11" t="inlineStr">
        <is>
          <t>YEONG</t>
        </is>
      </c>
      <c r="D91" s="13" t="n"/>
      <c r="E91" s="10">
        <f>IF(Table2[[#This Row],[Spender]]="YEONG",OFFSET(Table2[[#This Row],[My Actual Balance]],-1,0)-Table2[[#This Row],[Amount]],OFFSET(Table2[[#This Row],[My Actual Balance]],-1,0))</f>
        <v/>
      </c>
      <c r="F91" s="10">
        <f>IF(Table2[[#This Row],[Spender]]="MV",OFFSET(Table2[[#This Row],[MV Balance]],-1,0)-Table2[[#This Row],[Amount]],OFFSET(Table2[[#This Row],[MV Balance]],-1,0))</f>
        <v/>
      </c>
      <c r="G91" s="10">
        <f>SUM(E91:F91)</f>
        <v/>
      </c>
    </row>
    <row r="92">
      <c r="A92" s="8" t="n">
        <v>45818</v>
      </c>
      <c r="B92" s="24" t="n">
        <v>5537</v>
      </c>
      <c r="C92" s="11" t="inlineStr">
        <is>
          <t>MV</t>
        </is>
      </c>
      <c r="D92" s="13" t="n"/>
      <c r="E92" s="10">
        <f>IF(Table2[[#This Row],[Spender]]="YEONG",OFFSET(Table2[[#This Row],[My Actual Balance]],-1,0)-Table2[[#This Row],[Amount]],OFFSET(Table2[[#This Row],[My Actual Balance]],-1,0))</f>
        <v/>
      </c>
      <c r="F92" s="10">
        <f>IF(Table2[[#This Row],[Spender]]="MV",OFFSET(Table2[[#This Row],[MV Balance]],-1,0)-Table2[[#This Row],[Amount]],OFFSET(Table2[[#This Row],[MV Balance]],-1,0))</f>
        <v/>
      </c>
      <c r="G92" s="10">
        <f>SUM(E92:F92)</f>
        <v/>
      </c>
    </row>
    <row r="93">
      <c r="A93" s="8" t="n">
        <v>45819</v>
      </c>
      <c r="B93" s="24" t="n">
        <v>720.5</v>
      </c>
      <c r="C93" s="11" t="inlineStr">
        <is>
          <t>MV</t>
        </is>
      </c>
      <c r="D93" s="13" t="inlineStr">
        <is>
          <t>Top up to alipay</t>
        </is>
      </c>
      <c r="E93" s="10">
        <f>IF(Table2[[#This Row],[Spender]]="YEONG",OFFSET(Table2[[#This Row],[My Actual Balance]],-1,0)-Table2[[#This Row],[Amount]],OFFSET(Table2[[#This Row],[My Actual Balance]],-1,0))</f>
        <v/>
      </c>
      <c r="F93" s="10">
        <f>IF(Table2[[#This Row],[Spender]]="MV",OFFSET(Table2[[#This Row],[MV Balance]],-1,0)-Table2[[#This Row],[Amount]],OFFSET(Table2[[#This Row],[MV Balance]],-1,0))</f>
        <v/>
      </c>
      <c r="G93" s="10">
        <f>SUM(E93:F93)</f>
        <v/>
      </c>
    </row>
    <row r="94">
      <c r="A94" s="8" t="n">
        <v>45825</v>
      </c>
      <c r="B94" s="24" t="n">
        <v>-10000</v>
      </c>
      <c r="C94" s="11" t="inlineStr">
        <is>
          <t>MV</t>
        </is>
      </c>
      <c r="D94" s="13" t="inlineStr">
        <is>
          <t>Top up</t>
        </is>
      </c>
      <c r="E94" s="10">
        <f>IF(Table2[[#This Row],[Spender]]="YEONG",OFFSET(Table2[[#This Row],[My Actual Balance]],-1,0)-Table2[[#This Row],[Amount]],OFFSET(Table2[[#This Row],[My Actual Balance]],-1,0))</f>
        <v/>
      </c>
      <c r="F94" s="10">
        <f>IF(Table2[[#This Row],[Spender]]="MV",OFFSET(Table2[[#This Row],[MV Balance]],-1,0)-Table2[[#This Row],[Amount]],OFFSET(Table2[[#This Row],[MV Balance]],-1,0))</f>
        <v/>
      </c>
      <c r="G94" s="10">
        <f>SUM(E94:F94)</f>
        <v/>
      </c>
    </row>
    <row r="95">
      <c r="A95" s="8" t="n">
        <v>45825</v>
      </c>
      <c r="B95" s="24" t="n">
        <v>2621.55</v>
      </c>
      <c r="C95" s="11" t="inlineStr">
        <is>
          <t>MV</t>
        </is>
      </c>
      <c r="D95" s="13" t="inlineStr">
        <is>
          <t>XH20250612007</t>
        </is>
      </c>
      <c r="E95" s="10">
        <f>IF(Table2[[#This Row],[Spender]]="YEONG",OFFSET(Table2[[#This Row],[My Actual Balance]],-1,0)-Table2[[#This Row],[Amount]],OFFSET(Table2[[#This Row],[My Actual Balance]],-1,0))</f>
        <v/>
      </c>
      <c r="F95" s="10">
        <f>IF(Table2[[#This Row],[Spender]]="MV",OFFSET(Table2[[#This Row],[MV Balance]],-1,0)-Table2[[#This Row],[Amount]],OFFSET(Table2[[#This Row],[MV Balance]],-1,0))</f>
        <v/>
      </c>
      <c r="G95" s="10">
        <f>SUM(E95:F95)</f>
        <v/>
      </c>
    </row>
    <row r="96">
      <c r="A96" s="8" t="n">
        <v>45828</v>
      </c>
      <c r="B96" s="24" t="n">
        <v>537</v>
      </c>
      <c r="C96" s="11" t="inlineStr">
        <is>
          <t>MV</t>
        </is>
      </c>
      <c r="D96" s="13" t="inlineStr">
        <is>
          <t>4396290445101544919</t>
        </is>
      </c>
      <c r="E96" s="10">
        <f>IF(Table2[[#This Row],[Spender]]="YEONG",OFFSET(Table2[[#This Row],[My Actual Balance]],-1,0)-Table2[[#This Row],[Amount]],OFFSET(Table2[[#This Row],[My Actual Balance]],-1,0))</f>
        <v/>
      </c>
      <c r="F96" s="10">
        <f>IF(Table2[[#This Row],[Spender]]="MV",OFFSET(Table2[[#This Row],[MV Balance]],-1,0)-Table2[[#This Row],[Amount]],OFFSET(Table2[[#This Row],[MV Balance]],-1,0))</f>
        <v/>
      </c>
      <c r="G96" s="10">
        <f>SUM(E96:F96)</f>
        <v/>
      </c>
    </row>
    <row r="97">
      <c r="A97" s="8" t="n">
        <v>45828</v>
      </c>
      <c r="B97" s="24" t="n">
        <v>490</v>
      </c>
      <c r="C97" s="11" t="inlineStr">
        <is>
          <t>MV</t>
        </is>
      </c>
      <c r="D97" s="13" t="inlineStr">
        <is>
          <t>4396693467119544919</t>
        </is>
      </c>
      <c r="E97" s="10">
        <f>IF(Table2[[#This Row],[Spender]]="YEONG",OFFSET(Table2[[#This Row],[My Actual Balance]],-1,0)-Table2[[#This Row],[Amount]],OFFSET(Table2[[#This Row],[My Actual Balance]],-1,0))</f>
        <v/>
      </c>
      <c r="F97" s="10">
        <f>IF(Table2[[#This Row],[Spender]]="MV",OFFSET(Table2[[#This Row],[MV Balance]],-1,0)-Table2[[#This Row],[Amount]],OFFSET(Table2[[#This Row],[MV Balance]],-1,0))</f>
        <v/>
      </c>
      <c r="G97" s="10">
        <f>SUM(E97:F97)</f>
        <v/>
      </c>
    </row>
    <row r="98">
      <c r="A98" s="8" t="n">
        <v>45828</v>
      </c>
      <c r="B98" s="24" t="n">
        <v>860</v>
      </c>
      <c r="C98" s="11" t="inlineStr">
        <is>
          <t>MV</t>
        </is>
      </c>
      <c r="D98" s="13" t="inlineStr">
        <is>
          <t>4396688211726544919</t>
        </is>
      </c>
      <c r="E98" s="10">
        <f>IF(Table2[[#This Row],[Spender]]="YEONG",OFFSET(Table2[[#This Row],[My Actual Balance]],-1,0)-Table2[[#This Row],[Amount]],OFFSET(Table2[[#This Row],[My Actual Balance]],-1,0))</f>
        <v/>
      </c>
      <c r="F98" s="10">
        <f>IF(Table2[[#This Row],[Spender]]="MV",OFFSET(Table2[[#This Row],[MV Balance]],-1,0)-Table2[[#This Row],[Amount]],OFFSET(Table2[[#This Row],[MV Balance]],-1,0))</f>
        <v/>
      </c>
      <c r="G98" s="10">
        <f>SUM(E98:F98)</f>
        <v/>
      </c>
    </row>
    <row r="99">
      <c r="A99" s="8" t="n">
        <v>45828</v>
      </c>
      <c r="B99" s="24" t="n">
        <v>570</v>
      </c>
      <c r="C99" s="11" t="inlineStr">
        <is>
          <t>MV</t>
        </is>
      </c>
      <c r="D99" s="13" t="inlineStr">
        <is>
          <t>4396618370394544919</t>
        </is>
      </c>
      <c r="E99" s="10">
        <f>IF(Table2[[#This Row],[Spender]]="YEONG",OFFSET(Table2[[#This Row],[My Actual Balance]],-1,0)-Table2[[#This Row],[Amount]],OFFSET(Table2[[#This Row],[My Actual Balance]],-1,0))</f>
        <v/>
      </c>
      <c r="F99" s="10">
        <f>IF(Table2[[#This Row],[Spender]]="MV",OFFSET(Table2[[#This Row],[MV Balance]],-1,0)-Table2[[#This Row],[Amount]],OFFSET(Table2[[#This Row],[MV Balance]],-1,0))</f>
        <v/>
      </c>
      <c r="G99" s="10">
        <f>SUM(E99:F99)</f>
        <v/>
      </c>
    </row>
    <row r="100">
      <c r="A100" s="8" t="n">
        <v>45828</v>
      </c>
      <c r="B100" s="24" t="n">
        <v>560</v>
      </c>
      <c r="C100" s="11" t="inlineStr">
        <is>
          <t>MV</t>
        </is>
      </c>
      <c r="D100" s="13" t="inlineStr">
        <is>
          <t>4396289905203544919</t>
        </is>
      </c>
      <c r="E100" s="10">
        <f>IF(Table2[[#This Row],[Spender]]="YEONG",OFFSET(Table2[[#This Row],[My Actual Balance]],-1,0)-Table2[[#This Row],[Amount]],OFFSET(Table2[[#This Row],[My Actual Balance]],-1,0))</f>
        <v/>
      </c>
      <c r="F100" s="10">
        <f>IF(Table2[[#This Row],[Spender]]="MV",OFFSET(Table2[[#This Row],[MV Balance]],-1,0)-Table2[[#This Row],[Amount]],OFFSET(Table2[[#This Row],[MV Balance]],-1,0))</f>
        <v/>
      </c>
      <c r="G100" s="10">
        <f>SUM(E100:F100)</f>
        <v/>
      </c>
    </row>
    <row r="101">
      <c r="A101" s="8" t="n">
        <v>45834</v>
      </c>
      <c r="B101" s="24" t="n">
        <v>4045</v>
      </c>
      <c r="C101" s="11" t="inlineStr">
        <is>
          <t>MV</t>
        </is>
      </c>
      <c r="D101" s="13" t="n"/>
      <c r="E101" s="10">
        <f>IF(Table2[[#This Row],[Spender]]="YEONG",OFFSET(Table2[[#This Row],[My Actual Balance]],-1,0)-Table2[[#This Row],[Amount]],OFFSET(Table2[[#This Row],[My Actual Balance]],-1,0))</f>
        <v/>
      </c>
      <c r="F101" s="10">
        <f>IF(Table2[[#This Row],[Spender]]="MV",OFFSET(Table2[[#This Row],[MV Balance]],-1,0)-Table2[[#This Row],[Amount]],OFFSET(Table2[[#This Row],[MV Balance]],-1,0))</f>
        <v/>
      </c>
      <c r="G101" s="10">
        <f>SUM(E101:F101)</f>
        <v/>
      </c>
    </row>
    <row r="102">
      <c r="A102" s="8" t="n">
        <v>45834</v>
      </c>
      <c r="B102" s="24" t="n">
        <v>500</v>
      </c>
      <c r="C102" s="11" t="inlineStr">
        <is>
          <t>YEONG</t>
        </is>
      </c>
      <c r="D102" s="13" t="inlineStr">
        <is>
          <t>Top up alipay</t>
        </is>
      </c>
      <c r="E102" s="10">
        <f>IF(Table2[[#This Row],[Spender]]="YEONG",OFFSET(Table2[[#This Row],[My Actual Balance]],-1,0)-Table2[[#This Row],[Amount]],OFFSET(Table2[[#This Row],[My Actual Balance]],-1,0))</f>
        <v/>
      </c>
      <c r="F102" s="10">
        <f>IF(Table2[[#This Row],[Spender]]="MV",OFFSET(Table2[[#This Row],[MV Balance]],-1,0)-Table2[[#This Row],[Amount]],OFFSET(Table2[[#This Row],[MV Balance]],-1,0))</f>
        <v/>
      </c>
      <c r="G102" s="10">
        <f>SUM(E102:F102)</f>
        <v/>
      </c>
    </row>
    <row r="103">
      <c r="A103" s="8" t="n">
        <v>45834</v>
      </c>
      <c r="B103" s="24" t="n">
        <v>-1.39</v>
      </c>
      <c r="C103" s="11" t="inlineStr">
        <is>
          <t>YEONG</t>
        </is>
      </c>
      <c r="D103" s="13" t="inlineStr">
        <is>
          <t>Interest</t>
        </is>
      </c>
      <c r="E103" s="10">
        <f>IF(Table2[[#This Row],[Spender]]="YEONG",OFFSET(Table2[[#This Row],[My Actual Balance]],-1,0)-Table2[[#This Row],[Amount]],OFFSET(Table2[[#This Row],[My Actual Balance]],-1,0))</f>
        <v/>
      </c>
      <c r="F103" s="10">
        <f>IF(Table2[[#This Row],[Spender]]="MV",OFFSET(Table2[[#This Row],[MV Balance]],-1,0)-Table2[[#This Row],[Amount]],OFFSET(Table2[[#This Row],[MV Balance]],-1,0))</f>
        <v/>
      </c>
      <c r="G103" s="10">
        <f>SUM(E103:F103)</f>
        <v/>
      </c>
    </row>
    <row r="104">
      <c r="A104" s="8" t="n">
        <v>45837</v>
      </c>
      <c r="B104" s="24" t="n">
        <v>500</v>
      </c>
      <c r="C104" s="11" t="inlineStr">
        <is>
          <t>YEONG</t>
        </is>
      </c>
      <c r="D104" s="13" t="inlineStr">
        <is>
          <t>Top up</t>
        </is>
      </c>
      <c r="E104" s="10">
        <f>IF(Table2[[#This Row],[Spender]]="YEONG",OFFSET(Table2[[#This Row],[My Actual Balance]],-1,0)-Table2[[#This Row],[Amount]],OFFSET(Table2[[#This Row],[My Actual Balance]],-1,0))</f>
        <v/>
      </c>
      <c r="F104" s="10">
        <f>IF(Table2[[#This Row],[Spender]]="MV",OFFSET(Table2[[#This Row],[MV Balance]],-1,0)-Table2[[#This Row],[Amount]],OFFSET(Table2[[#This Row],[MV Balance]],-1,0))</f>
        <v/>
      </c>
      <c r="G104" s="10">
        <f>SUM(E104:F104)</f>
        <v/>
      </c>
    </row>
    <row r="105">
      <c r="A105" s="8" t="n">
        <v>45837</v>
      </c>
      <c r="B105" s="24" t="n">
        <v>300</v>
      </c>
      <c r="C105" s="11" t="inlineStr">
        <is>
          <t>YEONG</t>
        </is>
      </c>
      <c r="D105" s="13" t="inlineStr">
        <is>
          <t>Dinner</t>
        </is>
      </c>
      <c r="E105" s="10">
        <f>IF(Table2[[#This Row],[Spender]]="YEONG",OFFSET(Table2[[#This Row],[My Actual Balance]],-1,0)-Table2[[#This Row],[Amount]],OFFSET(Table2[[#This Row],[My Actual Balance]],-1,0))</f>
        <v/>
      </c>
      <c r="F105" s="10">
        <f>IF(Table2[[#This Row],[Spender]]="MV",OFFSET(Table2[[#This Row],[MV Balance]],-1,0)-Table2[[#This Row],[Amount]],OFFSET(Table2[[#This Row],[MV Balance]],-1,0))</f>
        <v/>
      </c>
      <c r="G105" s="10">
        <f>SUM(E105:F105)</f>
        <v/>
      </c>
    </row>
    <row r="106">
      <c r="A106" s="8" t="n">
        <v>45839</v>
      </c>
      <c r="B106" s="24" t="n">
        <v>-10000</v>
      </c>
      <c r="C106" s="11" t="inlineStr">
        <is>
          <t>MV</t>
        </is>
      </c>
      <c r="D106" s="13" t="n"/>
      <c r="E106" s="10">
        <f>IF(Table2[[#This Row],[Spender]]="YEONG",OFFSET(Table2[[#This Row],[My Actual Balance]],-1,0)-Table2[[#This Row],[Amount]],OFFSET(Table2[[#This Row],[My Actual Balance]],-1,0))</f>
        <v/>
      </c>
      <c r="F106" s="10">
        <f>IF(Table2[[#This Row],[Spender]]="MV",OFFSET(Table2[[#This Row],[MV Balance]],-1,0)-Table2[[#This Row],[Amount]],OFFSET(Table2[[#This Row],[MV Balance]],-1,0))</f>
        <v/>
      </c>
      <c r="G106" s="10">
        <f>SUM(E106:F106)</f>
        <v/>
      </c>
    </row>
    <row r="107">
      <c r="A107" s="8" t="n">
        <v>45841</v>
      </c>
      <c r="B107" s="24" t="n">
        <v>900</v>
      </c>
      <c r="C107" s="11" t="inlineStr">
        <is>
          <t>MV</t>
        </is>
      </c>
      <c r="D107" s="13" t="inlineStr">
        <is>
          <t>4609107828972544919</t>
        </is>
      </c>
      <c r="E107" s="10">
        <f>IF(Table2[[#This Row],[Spender]]="YEONG",OFFSET(Table2[[#This Row],[My Actual Balance]],-1,0)-Table2[[#This Row],[Amount]],OFFSET(Table2[[#This Row],[My Actual Balance]],-1,0))</f>
        <v/>
      </c>
      <c r="F107" s="10">
        <f>IF(Table2[[#This Row],[Spender]]="MV",OFFSET(Table2[[#This Row],[MV Balance]],-1,0)-Table2[[#This Row],[Amount]],OFFSET(Table2[[#This Row],[MV Balance]],-1,0))</f>
        <v/>
      </c>
      <c r="G107" s="10">
        <f>SUM(E107:F107)</f>
        <v/>
      </c>
    </row>
    <row r="108">
      <c r="A108" s="8" t="n">
        <v>45841</v>
      </c>
      <c r="B108" s="24" t="n">
        <v>974</v>
      </c>
      <c r="C108" s="11" t="inlineStr">
        <is>
          <t>MV</t>
        </is>
      </c>
      <c r="D108" s="13" t="inlineStr">
        <is>
          <t>4609077446645544919</t>
        </is>
      </c>
      <c r="E108" s="10">
        <f>IF(Table2[[#This Row],[Spender]]="YEONG",OFFSET(Table2[[#This Row],[My Actual Balance]],-1,0)-Table2[[#This Row],[Amount]],OFFSET(Table2[[#This Row],[My Actual Balance]],-1,0))</f>
        <v/>
      </c>
      <c r="F108" s="10">
        <f>IF(Table2[[#This Row],[Spender]]="MV",OFFSET(Table2[[#This Row],[MV Balance]],-1,0)-Table2[[#This Row],[Amount]],OFFSET(Table2[[#This Row],[MV Balance]],-1,0))</f>
        <v/>
      </c>
      <c r="G108" s="10">
        <f>SUM(E108:F108)</f>
        <v/>
      </c>
    </row>
    <row r="109">
      <c r="A109" s="8" t="n">
        <v>45842</v>
      </c>
      <c r="B109" s="24" t="n">
        <v>300</v>
      </c>
      <c r="C109" s="11" t="inlineStr">
        <is>
          <t>YEONG</t>
        </is>
      </c>
      <c r="D109" s="13" t="inlineStr">
        <is>
          <t>Top up</t>
        </is>
      </c>
      <c r="E109" s="10">
        <f>IF(Table2[[#This Row],[Spender]]="YEONG",OFFSET(Table2[[#This Row],[My Actual Balance]],-1,0)-Table2[[#This Row],[Amount]],OFFSET(Table2[[#This Row],[My Actual Balance]],-1,0))</f>
        <v/>
      </c>
      <c r="F109" s="10">
        <f>IF(Table2[[#This Row],[Spender]]="MV",OFFSET(Table2[[#This Row],[MV Balance]],-1,0)-Table2[[#This Row],[Amount]],OFFSET(Table2[[#This Row],[MV Balance]],-1,0))</f>
        <v/>
      </c>
      <c r="G109" s="10">
        <f>SUM(E109:F109)</f>
        <v/>
      </c>
    </row>
    <row r="110">
      <c r="A110" s="8" t="n">
        <v>45842</v>
      </c>
      <c r="B110" s="24" t="n">
        <v>2</v>
      </c>
      <c r="C110" s="11" t="inlineStr">
        <is>
          <t>YEONG</t>
        </is>
      </c>
      <c r="D110" s="13" t="inlineStr">
        <is>
          <t>景山公园</t>
        </is>
      </c>
      <c r="E110" s="10">
        <f>IF(Table2[[#This Row],[Spender]]="YEONG",OFFSET(Table2[[#This Row],[My Actual Balance]],-1,0)-Table2[[#This Row],[Amount]],OFFSET(Table2[[#This Row],[My Actual Balance]],-1,0))</f>
        <v/>
      </c>
      <c r="F110" s="10">
        <f>IF(Table2[[#This Row],[Spender]]="MV",OFFSET(Table2[[#This Row],[MV Balance]],-1,0)-Table2[[#This Row],[Amount]],OFFSET(Table2[[#This Row],[MV Balance]],-1,0))</f>
        <v/>
      </c>
      <c r="G110" s="10">
        <f>SUM(E110:F110)</f>
        <v/>
      </c>
    </row>
    <row r="111">
      <c r="A111" s="8" t="n">
        <v>45843</v>
      </c>
      <c r="B111" s="24" t="n">
        <v>300</v>
      </c>
      <c r="C111" s="11" t="inlineStr">
        <is>
          <t>YEONG</t>
        </is>
      </c>
      <c r="D111" s="13" t="inlineStr">
        <is>
          <t>Top up</t>
        </is>
      </c>
      <c r="E111" s="10">
        <f>IF(Table2[[#This Row],[Spender]]="YEONG",OFFSET(Table2[[#This Row],[My Actual Balance]],-1,0)-Table2[[#This Row],[Amount]],OFFSET(Table2[[#This Row],[My Actual Balance]],-1,0))</f>
        <v/>
      </c>
      <c r="F111" s="10">
        <f>IF(Table2[[#This Row],[Spender]]="MV",OFFSET(Table2[[#This Row],[MV Balance]],-1,0)-Table2[[#This Row],[Amount]],OFFSET(Table2[[#This Row],[MV Balance]],-1,0))</f>
        <v/>
      </c>
      <c r="G111" s="10">
        <f>SUM(E111:F111)</f>
        <v/>
      </c>
    </row>
    <row r="112">
      <c r="A112" s="8" t="n">
        <v>45846</v>
      </c>
      <c r="B112" s="24" t="n">
        <v>-79.48</v>
      </c>
      <c r="C112" s="11" t="inlineStr">
        <is>
          <t>YEONG</t>
        </is>
      </c>
      <c r="D112" s="13" t="inlineStr">
        <is>
          <t>return from alipay</t>
        </is>
      </c>
      <c r="E112" s="10">
        <f>IF(Table2[[#This Row],[Spender]]="YEONG",OFFSET(Table2[[#This Row],[My Actual Balance]],-1,0)-Table2[[#This Row],[Amount]],OFFSET(Table2[[#This Row],[My Actual Balance]],-1,0))</f>
        <v/>
      </c>
      <c r="F112" s="10">
        <f>IF(Table2[[#This Row],[Spender]]="MV",OFFSET(Table2[[#This Row],[MV Balance]],-1,0)-Table2[[#This Row],[Amount]],OFFSET(Table2[[#This Row],[MV Balance]],-1,0))</f>
        <v/>
      </c>
      <c r="G112" s="10">
        <f>SUM(E112:F112)</f>
        <v/>
      </c>
    </row>
    <row r="113">
      <c r="A113" s="8" t="n">
        <v>45846</v>
      </c>
      <c r="B113" s="24" t="n">
        <v>1740</v>
      </c>
      <c r="C113" s="11" t="inlineStr">
        <is>
          <t>MV</t>
        </is>
      </c>
      <c r="D113" s="13" t="inlineStr">
        <is>
          <t>4620571741570544919</t>
        </is>
      </c>
      <c r="E113" s="10">
        <f>IF(Table2[[#This Row],[Spender]]="YEONG",OFFSET(Table2[[#This Row],[My Actual Balance]],-1,0)-Table2[[#This Row],[Amount]],OFFSET(Table2[[#This Row],[My Actual Balance]],-1,0))</f>
        <v/>
      </c>
      <c r="F113" s="10">
        <f>IF(Table2[[#This Row],[Spender]]="MV",OFFSET(Table2[[#This Row],[MV Balance]],-1,0)-Table2[[#This Row],[Amount]],OFFSET(Table2[[#This Row],[MV Balance]],-1,0))</f>
        <v/>
      </c>
      <c r="G113" s="10">
        <f>SUM(E113:F113)</f>
        <v/>
      </c>
    </row>
    <row r="114">
      <c r="A114" s="8" t="n">
        <v>45848</v>
      </c>
      <c r="B114" s="24" t="n">
        <v>11.26</v>
      </c>
      <c r="C114" s="11" t="inlineStr">
        <is>
          <t>YEONG</t>
        </is>
      </c>
      <c r="D114" s="13" t="inlineStr">
        <is>
          <t>Muji spectacles wipe</t>
        </is>
      </c>
      <c r="E114" s="10">
        <f>IF(Table2[[#This Row],[Spender]]="YEONG",OFFSET(Table2[[#This Row],[My Actual Balance]],-1,0)-Table2[[#This Row],[Amount]],OFFSET(Table2[[#This Row],[My Actual Balance]],-1,0))</f>
        <v/>
      </c>
      <c r="F114" s="10">
        <f>IF(Table2[[#This Row],[Spender]]="MV",OFFSET(Table2[[#This Row],[MV Balance]],-1,0)-Table2[[#This Row],[Amount]],OFFSET(Table2[[#This Row],[MV Balance]],-1,0))</f>
        <v/>
      </c>
      <c r="G114" s="10">
        <f>SUM(E114:F114)</f>
        <v/>
      </c>
    </row>
    <row r="115">
      <c r="A115" s="8" t="n">
        <v>45849</v>
      </c>
      <c r="B115" s="24" t="n">
        <v>2550</v>
      </c>
      <c r="C115" s="11" t="inlineStr">
        <is>
          <t>MV</t>
        </is>
      </c>
      <c r="D115" s="13" t="inlineStr">
        <is>
          <t>4623956858567544919</t>
        </is>
      </c>
      <c r="E115" s="10">
        <f>IF(Table2[[#This Row],[Spender]]="YEONG",OFFSET(Table2[[#This Row],[My Actual Balance]],-1,0)-Table2[[#This Row],[Amount]],OFFSET(Table2[[#This Row],[My Actual Balance]],-1,0))</f>
        <v/>
      </c>
      <c r="F115" s="10">
        <f>IF(Table2[[#This Row],[Spender]]="MV",OFFSET(Table2[[#This Row],[MV Balance]],-1,0)-Table2[[#This Row],[Amount]],OFFSET(Table2[[#This Row],[MV Balance]],-1,0))</f>
        <v/>
      </c>
      <c r="G115" s="10">
        <f>SUM(E115:F115)</f>
        <v/>
      </c>
    </row>
    <row r="116">
      <c r="A116" s="8" t="n">
        <v>45850</v>
      </c>
      <c r="B116" s="24" t="n">
        <v>894</v>
      </c>
      <c r="C116" s="11" t="inlineStr">
        <is>
          <t>MV</t>
        </is>
      </c>
      <c r="D116" s="13" t="inlineStr">
        <is>
          <t>4625418026987544919</t>
        </is>
      </c>
      <c r="E116" s="10">
        <f>IF(Table2[[#This Row],[Spender]]="YEONG",OFFSET(Table2[[#This Row],[My Actual Balance]],-1,0)-Table2[[#This Row],[Amount]],OFFSET(Table2[[#This Row],[My Actual Balance]],-1,0))</f>
        <v/>
      </c>
      <c r="F116" s="10">
        <f>IF(Table2[[#This Row],[Spender]]="MV",OFFSET(Table2[[#This Row],[MV Balance]],-1,0)-Table2[[#This Row],[Amount]],OFFSET(Table2[[#This Row],[MV Balance]],-1,0))</f>
        <v/>
      </c>
      <c r="G116" s="10">
        <f>SUM(E116:F116)</f>
        <v/>
      </c>
    </row>
    <row r="117">
      <c r="A117" s="8" t="n">
        <v>45850</v>
      </c>
      <c r="B117" s="24" t="n">
        <v>627</v>
      </c>
      <c r="C117" s="11" t="inlineStr">
        <is>
          <t>MV</t>
        </is>
      </c>
      <c r="D117" s="13" t="inlineStr">
        <is>
          <t>4625422849778544919</t>
        </is>
      </c>
      <c r="E117" s="10">
        <f>IF(Table2[[#This Row],[Spender]]="YEONG",OFFSET(Table2[[#This Row],[My Actual Balance]],-1,0)-Table2[[#This Row],[Amount]],OFFSET(Table2[[#This Row],[My Actual Balance]],-1,0))</f>
        <v/>
      </c>
      <c r="F117" s="10">
        <f>IF(Table2[[#This Row],[Spender]]="MV",OFFSET(Table2[[#This Row],[MV Balance]],-1,0)-Table2[[#This Row],[Amount]],OFFSET(Table2[[#This Row],[MV Balance]],-1,0))</f>
        <v/>
      </c>
      <c r="G117" s="10">
        <f>SUM(E117:F117)</f>
        <v/>
      </c>
    </row>
    <row r="118">
      <c r="A118" s="8" t="n">
        <v>45850</v>
      </c>
      <c r="B118" s="24" t="n">
        <v>520</v>
      </c>
      <c r="C118" s="11" t="inlineStr">
        <is>
          <t>MV</t>
        </is>
      </c>
      <c r="D118" s="13" t="inlineStr">
        <is>
          <t>4625417594881544919</t>
        </is>
      </c>
      <c r="E118" s="10">
        <f>IF(Table2[[#This Row],[Spender]]="YEONG",OFFSET(Table2[[#This Row],[My Actual Balance]],-1,0)-Table2[[#This Row],[Amount]],OFFSET(Table2[[#This Row],[My Actual Balance]],-1,0))</f>
        <v/>
      </c>
      <c r="F118" s="10">
        <f>IF(Table2[[#This Row],[Spender]]="MV",OFFSET(Table2[[#This Row],[MV Balance]],-1,0)-Table2[[#This Row],[Amount]],OFFSET(Table2[[#This Row],[MV Balance]],-1,0))</f>
        <v/>
      </c>
      <c r="G118" s="10">
        <f>SUM(E118:F118)</f>
        <v/>
      </c>
    </row>
    <row r="119">
      <c r="A119" s="8" t="n">
        <v>45852</v>
      </c>
      <c r="B119" s="24" t="n">
        <v>946</v>
      </c>
      <c r="C119" s="11" t="inlineStr">
        <is>
          <t>MV</t>
        </is>
      </c>
      <c r="D119" s="13" t="inlineStr">
        <is>
          <t>4631250384132544919</t>
        </is>
      </c>
      <c r="E119" s="10">
        <f>IF(Table2[[#This Row],[Spender]]="YEONG",OFFSET(Table2[[#This Row],[My Actual Balance]],-1,0)-Table2[[#This Row],[Amount]],OFFSET(Table2[[#This Row],[My Actual Balance]],-1,0))</f>
        <v/>
      </c>
      <c r="F119" s="10">
        <f>IF(Table2[[#This Row],[Spender]]="MV",OFFSET(Table2[[#This Row],[MV Balance]],-1,0)-Table2[[#This Row],[Amount]],OFFSET(Table2[[#This Row],[MV Balance]],-1,0))</f>
        <v/>
      </c>
      <c r="G119" s="10">
        <f>SUM(E119:F119)</f>
        <v/>
      </c>
    </row>
    <row r="120">
      <c r="A120" s="8" t="n">
        <v>45853</v>
      </c>
      <c r="B120" s="24" t="n">
        <v>1025</v>
      </c>
      <c r="C120" s="11" t="inlineStr">
        <is>
          <t>MV</t>
        </is>
      </c>
      <c r="D120" s="13" t="inlineStr">
        <is>
          <t>4633255083221544919</t>
        </is>
      </c>
      <c r="E120" s="10">
        <f>IF(Table2[[#This Row],[Spender]]="YEONG",OFFSET(Table2[[#This Row],[My Actual Balance]],-1,0)-Table2[[#This Row],[Amount]],OFFSET(Table2[[#This Row],[My Actual Balance]],-1,0))</f>
        <v/>
      </c>
      <c r="F120" s="10">
        <f>IF(Table2[[#This Row],[Spender]]="MV",OFFSET(Table2[[#This Row],[MV Balance]],-1,0)-Table2[[#This Row],[Amount]],OFFSET(Table2[[#This Row],[MV Balance]],-1,0))</f>
        <v/>
      </c>
      <c r="G120" s="10">
        <f>SUM(E120:F120)</f>
        <v/>
      </c>
    </row>
    <row r="121">
      <c r="A121" s="8" t="n">
        <v>45855</v>
      </c>
      <c r="B121" s="24" t="n">
        <v>-10000</v>
      </c>
      <c r="C121" s="11" t="inlineStr">
        <is>
          <t>MV</t>
        </is>
      </c>
      <c r="D121" s="13" t="inlineStr">
        <is>
          <t>MV TOP UP</t>
        </is>
      </c>
      <c r="E121" s="10">
        <f>IF(Table2[[#This Row],[Spender]]="YEONG",OFFSET(Table2[[#This Row],[My Actual Balance]],-1,0)-Table2[[#This Row],[Amount]],OFFSET(Table2[[#This Row],[My Actual Balance]],-1,0))</f>
        <v/>
      </c>
      <c r="F121" s="10">
        <f>IF(Table2[[#This Row],[Spender]]="MV",OFFSET(Table2[[#This Row],[MV Balance]],-1,0)-Table2[[#This Row],[Amount]],OFFSET(Table2[[#This Row],[MV Balance]],-1,0))</f>
        <v/>
      </c>
      <c r="G121" s="10">
        <f>SUM(E121:F121)</f>
        <v/>
      </c>
    </row>
    <row r="122">
      <c r="A122" s="8" t="n">
        <v>45856</v>
      </c>
      <c r="B122" s="24" t="n">
        <v>825</v>
      </c>
      <c r="C122" s="11" t="inlineStr">
        <is>
          <t>MV</t>
        </is>
      </c>
      <c r="D122" s="13" t="inlineStr">
        <is>
          <t>4634427205749544919</t>
        </is>
      </c>
      <c r="E122" s="10">
        <f>IF(Table2[[#This Row],[Spender]]="YEONG",OFFSET(Table2[[#This Row],[My Actual Balance]],-1,0)-Table2[[#This Row],[Amount]],OFFSET(Table2[[#This Row],[My Actual Balance]],-1,0))</f>
        <v/>
      </c>
      <c r="F122" s="10">
        <f>IF(Table2[[#This Row],[Spender]]="MV",OFFSET(Table2[[#This Row],[MV Balance]],-1,0)-Table2[[#This Row],[Amount]],OFFSET(Table2[[#This Row],[MV Balance]],-1,0))</f>
        <v/>
      </c>
      <c r="G122" s="10">
        <f>SUM(E122:F122)</f>
        <v/>
      </c>
    </row>
    <row r="123">
      <c r="A123" s="8" t="n">
        <v>45856</v>
      </c>
      <c r="B123" s="24" t="n">
        <v>982.5</v>
      </c>
      <c r="C123" s="11" t="inlineStr">
        <is>
          <t>MV</t>
        </is>
      </c>
      <c r="D123" s="13" t="inlineStr">
        <is>
          <t>4638114288214544919</t>
        </is>
      </c>
      <c r="E123" s="10">
        <f>IF(Table2[[#This Row],[Spender]]="YEONG",OFFSET(Table2[[#This Row],[My Actual Balance]],-1,0)-Table2[[#This Row],[Amount]],OFFSET(Table2[[#This Row],[My Actual Balance]],-1,0))</f>
        <v/>
      </c>
      <c r="F123" s="10">
        <f>IF(Table2[[#This Row],[Spender]]="MV",OFFSET(Table2[[#This Row],[MV Balance]],-1,0)-Table2[[#This Row],[Amount]],OFFSET(Table2[[#This Row],[MV Balance]],-1,0))</f>
        <v/>
      </c>
      <c r="G123" s="10">
        <f>SUM(E123:F123)</f>
        <v/>
      </c>
    </row>
    <row r="124">
      <c r="A124" s="8" t="n">
        <v>45861</v>
      </c>
      <c r="B124" s="24" t="n">
        <v>448</v>
      </c>
      <c r="C124" s="11" t="inlineStr">
        <is>
          <t>MV</t>
        </is>
      </c>
      <c r="D124" s="13" t="inlineStr">
        <is>
          <t>4643984016620544919</t>
        </is>
      </c>
      <c r="E124" s="10">
        <f>IF(Table2[[#This Row],[Spender]]="YEONG",OFFSET(Table2[[#This Row],[My Actual Balance]],-1,0)-Table2[[#This Row],[Amount]],OFFSET(Table2[[#This Row],[My Actual Balance]],-1,0))</f>
        <v/>
      </c>
      <c r="F124" s="10">
        <f>IF(Table2[[#This Row],[Spender]]="MV",OFFSET(Table2[[#This Row],[MV Balance]],-1,0)-Table2[[#This Row],[Amount]],OFFSET(Table2[[#This Row],[MV Balance]],-1,0))</f>
        <v/>
      </c>
      <c r="G124" s="10">
        <f>SUM(E124:F124)</f>
        <v/>
      </c>
    </row>
    <row r="125">
      <c r="A125" s="8" t="n">
        <v>45861</v>
      </c>
      <c r="B125" s="24" t="n">
        <v>46</v>
      </c>
      <c r="C125" s="11" t="inlineStr">
        <is>
          <t>YEONG</t>
        </is>
      </c>
      <c r="D125" s="13" t="inlineStr">
        <is>
          <t>Food</t>
        </is>
      </c>
      <c r="E125" s="10">
        <f>IF(Table2[[#This Row],[Spender]]="YEONG",OFFSET(Table2[[#This Row],[My Actual Balance]],-1,0)-Table2[[#This Row],[Amount]],OFFSET(Table2[[#This Row],[My Actual Balance]],-1,0))</f>
        <v/>
      </c>
      <c r="F125" s="10">
        <f>IF(Table2[[#This Row],[Spender]]="MV",OFFSET(Table2[[#This Row],[MV Balance]],-1,0)-Table2[[#This Row],[Amount]],OFFSET(Table2[[#This Row],[MV Balance]],-1,0))</f>
        <v/>
      </c>
      <c r="G125" s="10">
        <f>SUM(E125:F125)</f>
        <v/>
      </c>
    </row>
    <row r="126">
      <c r="A126" s="8" t="n">
        <v>45863</v>
      </c>
      <c r="B126" s="24" t="n">
        <v>297.5</v>
      </c>
      <c r="C126" s="11" t="inlineStr">
        <is>
          <t>MV</t>
        </is>
      </c>
      <c r="D126" s="13" t="inlineStr">
        <is>
          <t>4649993534155544919</t>
        </is>
      </c>
      <c r="E126" s="10">
        <f>IF(Table2[[#This Row],[Spender]]="YEONG",OFFSET(Table2[[#This Row],[My Actual Balance]],-1,0)-Table2[[#This Row],[Amount]],OFFSET(Table2[[#This Row],[My Actual Balance]],-1,0))</f>
        <v/>
      </c>
      <c r="F126" s="10">
        <f>IF(Table2[[#This Row],[Spender]]="MV",OFFSET(Table2[[#This Row],[MV Balance]],-1,0)-Table2[[#This Row],[Amount]],OFFSET(Table2[[#This Row],[MV Balance]],-1,0))</f>
        <v/>
      </c>
      <c r="G126" s="10">
        <f>SUM(E126:F126)</f>
        <v/>
      </c>
    </row>
    <row r="127">
      <c r="A127" s="8" t="n">
        <v>45863</v>
      </c>
      <c r="B127" s="24" t="n">
        <v>840</v>
      </c>
      <c r="C127" s="11" t="inlineStr">
        <is>
          <t>MV</t>
        </is>
      </c>
      <c r="D127" s="13" t="inlineStr">
        <is>
          <t>4649990761822544919</t>
        </is>
      </c>
      <c r="E127" s="10">
        <f>IF(Table2[[#This Row],[Spender]]="YEONG",OFFSET(Table2[[#This Row],[My Actual Balance]],-1,0)-Table2[[#This Row],[Amount]],OFFSET(Table2[[#This Row],[My Actual Balance]],-1,0))</f>
        <v/>
      </c>
      <c r="F127" s="10">
        <f>IF(Table2[[#This Row],[Spender]]="MV",OFFSET(Table2[[#This Row],[MV Balance]],-1,0)-Table2[[#This Row],[Amount]],OFFSET(Table2[[#This Row],[MV Balance]],-1,0))</f>
        <v/>
      </c>
      <c r="G127" s="10">
        <f>SUM(E127:F127)</f>
        <v/>
      </c>
    </row>
    <row r="128">
      <c r="A128" s="8" t="n">
        <v>45864</v>
      </c>
      <c r="B128" s="24" t="n">
        <v>825</v>
      </c>
      <c r="C128" s="11" t="inlineStr">
        <is>
          <t>MV</t>
        </is>
      </c>
      <c r="D128" s="13" t="inlineStr">
        <is>
          <t>4649987594817544919</t>
        </is>
      </c>
      <c r="E128" s="10">
        <f>IF(Table2[[#This Row],[Spender]]="YEONG",OFFSET(Table2[[#This Row],[My Actual Balance]],-1,0)-Table2[[#This Row],[Amount]],OFFSET(Table2[[#This Row],[My Actual Balance]],-1,0))</f>
        <v/>
      </c>
      <c r="F128" s="10">
        <f>IF(Table2[[#This Row],[Spender]]="MV",OFFSET(Table2[[#This Row],[MV Balance]],-1,0)-Table2[[#This Row],[Amount]],OFFSET(Table2[[#This Row],[MV Balance]],-1,0))</f>
        <v/>
      </c>
      <c r="G128" s="10">
        <f>SUM(E128:F128)</f>
        <v/>
      </c>
    </row>
    <row r="129">
      <c r="A129" s="8" t="n">
        <v>45864</v>
      </c>
      <c r="B129" s="24" t="n">
        <v>613.4</v>
      </c>
      <c r="C129" s="11" t="inlineStr">
        <is>
          <t>MV</t>
        </is>
      </c>
      <c r="D129" s="13" t="inlineStr">
        <is>
          <t>4649992993280544919</t>
        </is>
      </c>
      <c r="E129" s="10">
        <f>IF(Table2[[#This Row],[Spender]]="YEONG",OFFSET(Table2[[#This Row],[My Actual Balance]],-1,0)-Table2[[#This Row],[Amount]],OFFSET(Table2[[#This Row],[My Actual Balance]],-1,0))</f>
        <v/>
      </c>
      <c r="F129" s="10">
        <f>IF(Table2[[#This Row],[Spender]]="MV",OFFSET(Table2[[#This Row],[MV Balance]],-1,0)-Table2[[#This Row],[Amount]],OFFSET(Table2[[#This Row],[MV Balance]],-1,0))</f>
        <v/>
      </c>
      <c r="G129" s="10">
        <f>SUM(E129:F129)</f>
        <v/>
      </c>
    </row>
    <row r="130">
      <c r="A130" s="8" t="n">
        <v>45867</v>
      </c>
      <c r="B130" s="24" t="n">
        <v>940</v>
      </c>
      <c r="C130" s="11" t="inlineStr">
        <is>
          <t>MV</t>
        </is>
      </c>
      <c r="D130" s="13" t="inlineStr">
        <is>
          <t>4655745110708544919</t>
        </is>
      </c>
      <c r="E130" s="10">
        <f>IF(Table2[[#This Row],[Spender]]="YEONG",OFFSET(Table2[[#This Row],[My Actual Balance]],-1,0)-Table2[[#This Row],[Amount]],OFFSET(Table2[[#This Row],[My Actual Balance]],-1,0))</f>
        <v/>
      </c>
      <c r="F130" s="10">
        <f>IF(Table2[[#This Row],[Spender]]="MV",OFFSET(Table2[[#This Row],[MV Balance]],-1,0)-Table2[[#This Row],[Amount]],OFFSET(Table2[[#This Row],[MV Balance]],-1,0))</f>
        <v/>
      </c>
      <c r="G130" s="10">
        <f>SUM(E130:F130)</f>
        <v/>
      </c>
    </row>
    <row r="131">
      <c r="A131" s="8" t="n">
        <v>45867</v>
      </c>
      <c r="B131" s="18" t="n">
        <v>885</v>
      </c>
      <c r="C131" t="inlineStr">
        <is>
          <t>MV</t>
        </is>
      </c>
      <c r="D131" s="3" t="inlineStr">
        <is>
          <t>4650084219411544919</t>
        </is>
      </c>
      <c r="E131" s="10">
        <f>IF(Table2[[#This Row],[Spender]]="YEONG",OFFSET(Table2[[#This Row],[My Actual Balance]],-1,0)-Table2[[#This Row],[Amount]],OFFSET(Table2[[#This Row],[My Actual Balance]],-1,0))</f>
        <v/>
      </c>
      <c r="F131" s="10">
        <f>IF(Table2[[#This Row],[Spender]]="MV",OFFSET(Table2[[#This Row],[MV Balance]],-1,0)-Table2[[#This Row],[Amount]],OFFSET(Table2[[#This Row],[MV Balance]],-1,0))</f>
        <v/>
      </c>
      <c r="G131" s="10">
        <f>SUM(E131:F131)</f>
        <v/>
      </c>
    </row>
    <row r="132">
      <c r="A132" s="8" t="n">
        <v>45870</v>
      </c>
      <c r="B132" s="18" t="n">
        <v>2831</v>
      </c>
      <c r="C132" t="inlineStr">
        <is>
          <t>MV</t>
        </is>
      </c>
      <c r="D132" s="3" t="inlineStr">
        <is>
          <t>4661860394292544919</t>
        </is>
      </c>
      <c r="E132" s="10">
        <f>IF(Table2[[#This Row],[Spender]]="YEONG",OFFSET(Table2[[#This Row],[My Actual Balance]],-1,0)-Table2[[#This Row],[Amount]],OFFSET(Table2[[#This Row],[My Actual Balance]],-1,0))</f>
        <v/>
      </c>
      <c r="F132" s="10">
        <f>IF(Table2[[#This Row],[Spender]]="MV",OFFSET(Table2[[#This Row],[MV Balance]],-1,0)-Table2[[#This Row],[Amount]],OFFSET(Table2[[#This Row],[MV Balance]],-1,0))</f>
        <v/>
      </c>
      <c r="G132" s="10">
        <f>SUM(E132:F132)</f>
        <v/>
      </c>
    </row>
    <row r="133">
      <c r="A133" s="8" t="n">
        <v>45875</v>
      </c>
      <c r="B133" s="18" t="n">
        <v>-10000</v>
      </c>
      <c r="C133" t="inlineStr">
        <is>
          <t>MV</t>
        </is>
      </c>
      <c r="D133" s="3" t="inlineStr">
        <is>
          <t>Top Up</t>
        </is>
      </c>
      <c r="E133" s="10">
        <f>IF(Table2[[#This Row],[Spender]]="YEONG",OFFSET(Table2[[#This Row],[My Actual Balance]],-1,0)-Table2[[#This Row],[Amount]],OFFSET(Table2[[#This Row],[My Actual Balance]],-1,0))</f>
        <v/>
      </c>
      <c r="F133" s="10">
        <f>IF(Table2[[#This Row],[Spender]]="MV",OFFSET(Table2[[#This Row],[MV Balance]],-1,0)-Table2[[#This Row],[Amount]],OFFSET(Table2[[#This Row],[MV Balance]],-1,0))</f>
        <v/>
      </c>
      <c r="G133" s="10">
        <f>SUM(E133:F133)</f>
        <v/>
      </c>
    </row>
    <row r="134">
      <c r="A134" s="8" t="n">
        <v>45875</v>
      </c>
      <c r="B134" s="18" t="n">
        <v>4074</v>
      </c>
      <c r="C134" t="inlineStr">
        <is>
          <t>MV</t>
        </is>
      </c>
      <c r="D134" s="3" t="inlineStr">
        <is>
          <t>4670111379063544919</t>
        </is>
      </c>
      <c r="E134" s="10">
        <f>IF(Table2[[#This Row],[Spender]]="YEONG",OFFSET(Table2[[#This Row],[My Actual Balance]],-1,0)-Table2[[#This Row],[Amount]],OFFSET(Table2[[#This Row],[My Actual Balance]],-1,0))</f>
        <v/>
      </c>
      <c r="F134" s="10">
        <f>IF(Table2[[#This Row],[Spender]]="MV",OFFSET(Table2[[#This Row],[MV Balance]],-1,0)-Table2[[#This Row],[Amount]],OFFSET(Table2[[#This Row],[MV Balance]],-1,0))</f>
        <v/>
      </c>
      <c r="G134" s="10">
        <f>SUM(E134:F134)</f>
        <v/>
      </c>
    </row>
    <row r="135">
      <c r="A135" s="8" t="n">
        <v>45876</v>
      </c>
      <c r="B135" s="18" t="n">
        <v>825</v>
      </c>
      <c r="C135" t="inlineStr">
        <is>
          <t>MV</t>
        </is>
      </c>
      <c r="D135" s="3" t="inlineStr">
        <is>
          <t>4667210100322544919</t>
        </is>
      </c>
      <c r="E135" s="10">
        <f>IF(Table2[[#This Row],[Spender]]="YEONG",OFFSET(Table2[[#This Row],[My Actual Balance]],-1,0)-Table2[[#This Row],[Amount]],OFFSET(Table2[[#This Row],[My Actual Balance]],-1,0))</f>
        <v/>
      </c>
      <c r="F135" s="10">
        <f>IF(Table2[[#This Row],[Spender]]="MV",OFFSET(Table2[[#This Row],[MV Balance]],-1,0)-Table2[[#This Row],[Amount]],OFFSET(Table2[[#This Row],[MV Balance]],-1,0))</f>
        <v/>
      </c>
      <c r="G135" s="10">
        <f>SUM(E135:F135)</f>
        <v/>
      </c>
    </row>
    <row r="136">
      <c r="A136" s="8" t="n">
        <v>45877</v>
      </c>
      <c r="B136" s="18" t="n">
        <v>935.5</v>
      </c>
      <c r="C136" t="inlineStr">
        <is>
          <t>MV</t>
        </is>
      </c>
      <c r="D136" s="3" t="inlineStr">
        <is>
          <t>4673774412124544919</t>
        </is>
      </c>
      <c r="E136" s="10">
        <f>IF(Table2[[#This Row],[Spender]]="YEONG",OFFSET(Table2[[#This Row],[My Actual Balance]],-1,0)-Table2[[#This Row],[Amount]],OFFSET(Table2[[#This Row],[My Actual Balance]],-1,0))</f>
        <v/>
      </c>
      <c r="F136" s="10">
        <f>IF(Table2[[#This Row],[Spender]]="MV",OFFSET(Table2[[#This Row],[MV Balance]],-1,0)-Table2[[#This Row],[Amount]],OFFSET(Table2[[#This Row],[MV Balance]],-1,0))</f>
        <v/>
      </c>
      <c r="G136" s="10">
        <f>SUM(E136:F136)</f>
        <v/>
      </c>
    </row>
    <row r="137">
      <c r="A137" s="8" t="n">
        <v>45878</v>
      </c>
      <c r="B137" s="18" t="n">
        <v>905</v>
      </c>
      <c r="C137" t="inlineStr">
        <is>
          <t>MV</t>
        </is>
      </c>
      <c r="D137" s="3" t="inlineStr">
        <is>
          <t>4673841519404544919</t>
        </is>
      </c>
      <c r="E137" s="10">
        <f>IF(Table2[[#This Row],[Spender]]="YEONG",OFFSET(Table2[[#This Row],[My Actual Balance]],-1,0)-Table2[[#This Row],[Amount]],OFFSET(Table2[[#This Row],[My Actual Balance]],-1,0))</f>
        <v/>
      </c>
      <c r="F137" s="10">
        <f>IF(Table2[[#This Row],[Spender]]="MV",OFFSET(Table2[[#This Row],[MV Balance]],-1,0)-Table2[[#This Row],[Amount]],OFFSET(Table2[[#This Row],[MV Balance]],-1,0))</f>
        <v/>
      </c>
      <c r="G137" s="10">
        <f>SUM(E137:F137)</f>
        <v/>
      </c>
    </row>
    <row r="138">
      <c r="A138" s="8" t="n">
        <v>45878</v>
      </c>
      <c r="B138" s="18" t="n">
        <v>523</v>
      </c>
      <c r="C138" t="inlineStr">
        <is>
          <t>MV</t>
        </is>
      </c>
      <c r="D138" s="3" t="inlineStr">
        <is>
          <t>4673839935604544919</t>
        </is>
      </c>
      <c r="E138" s="10">
        <f>IF(Table2[[#This Row],[Spender]]="YEONG",OFFSET(Table2[[#This Row],[My Actual Balance]],-1,0)-Table2[[#This Row],[Amount]],OFFSET(Table2[[#This Row],[My Actual Balance]],-1,0))</f>
        <v/>
      </c>
      <c r="F138" s="10">
        <f>IF(Table2[[#This Row],[Spender]]="MV",OFFSET(Table2[[#This Row],[MV Balance]],-1,0)-Table2[[#This Row],[Amount]],OFFSET(Table2[[#This Row],[MV Balance]],-1,0))</f>
        <v/>
      </c>
      <c r="G138" s="10">
        <f>SUM(E138:F138)</f>
        <v/>
      </c>
    </row>
    <row r="139">
      <c r="A139" s="8" t="n">
        <v>45880</v>
      </c>
      <c r="B139" s="18" t="n">
        <v>1895</v>
      </c>
      <c r="C139" t="inlineStr">
        <is>
          <t>MV</t>
        </is>
      </c>
      <c r="D139" s="3" t="inlineStr">
        <is>
          <t>4678925869067098044</t>
        </is>
      </c>
      <c r="E139" s="10">
        <f>IF(Table2[[#This Row],[Spender]]="YEONG",OFFSET(Table2[[#This Row],[My Actual Balance]],-1,0)-Table2[[#This Row],[Amount]],OFFSET(Table2[[#This Row],[My Actual Balance]],-1,0))</f>
        <v/>
      </c>
      <c r="F139" s="10">
        <f>IF(Table2[[#This Row],[Spender]]="MV",OFFSET(Table2[[#This Row],[MV Balance]],-1,0)-Table2[[#This Row],[Amount]],OFFSET(Table2[[#This Row],[MV Balance]],-1,0))</f>
        <v/>
      </c>
      <c r="G139" s="10">
        <f>SUM(E139:F139)</f>
        <v/>
      </c>
    </row>
    <row r="140">
      <c r="A140" s="8" t="n">
        <v>45883</v>
      </c>
      <c r="B140" s="18" t="n">
        <v>-10000</v>
      </c>
      <c r="C140" t="inlineStr">
        <is>
          <t>MV</t>
        </is>
      </c>
      <c r="D140" s="3" t="inlineStr">
        <is>
          <t>TOP UP</t>
        </is>
      </c>
      <c r="E140" s="10">
        <f>IF(Table2[[#This Row],[Spender]]="YEONG",OFFSET(Table2[[#This Row],[My Actual Balance]],-1,0)-Table2[[#This Row],[Amount]],OFFSET(Table2[[#This Row],[My Actual Balance]],-1,0))</f>
        <v/>
      </c>
      <c r="F140" s="10">
        <f>IF(Table2[[#This Row],[Spender]]="MV",OFFSET(Table2[[#This Row],[MV Balance]],-1,0)-Table2[[#This Row],[Amount]],OFFSET(Table2[[#This Row],[MV Balance]],-1,0))</f>
        <v/>
      </c>
      <c r="G140" s="10">
        <f>SUM(E140:F140)</f>
        <v/>
      </c>
    </row>
    <row r="141">
      <c r="A141" s="8" t="n">
        <v>45884</v>
      </c>
      <c r="B141" s="18" t="n">
        <v>4145</v>
      </c>
      <c r="C141" t="inlineStr">
        <is>
          <t>MV</t>
        </is>
      </c>
      <c r="D141" s="3" t="inlineStr">
        <is>
          <t>4685104332524544919</t>
        </is>
      </c>
      <c r="E141" s="10">
        <f>IF(Table2[[#This Row],[Spender]]="YEONG",OFFSET(Table2[[#This Row],[My Actual Balance]],-1,0)-Table2[[#This Row],[Amount]],OFFSET(Table2[[#This Row],[My Actual Balance]],-1,0))</f>
        <v/>
      </c>
      <c r="F141" s="10">
        <f>IF(Table2[[#This Row],[Spender]]="MV",OFFSET(Table2[[#This Row],[MV Balance]],-1,0)-Table2[[#This Row],[Amount]],OFFSET(Table2[[#This Row],[MV Balance]],-1,0))</f>
        <v/>
      </c>
      <c r="G141" s="10">
        <f>SUM(E141:F141)</f>
        <v/>
      </c>
    </row>
    <row r="142">
      <c r="A142" s="8" t="n">
        <v>45886</v>
      </c>
      <c r="B142" s="18" t="n">
        <v>540</v>
      </c>
      <c r="C142" t="inlineStr">
        <is>
          <t>MV</t>
        </is>
      </c>
      <c r="D142" s="3" t="inlineStr">
        <is>
          <t>4685031686135544919</t>
        </is>
      </c>
      <c r="E142" s="10">
        <f>IF(Table2[[#This Row],[Spender]]="YEONG",OFFSET(Table2[[#This Row],[My Actual Balance]],-1,0)-Table2[[#This Row],[Amount]],OFFSET(Table2[[#This Row],[My Actual Balance]],-1,0))</f>
        <v/>
      </c>
      <c r="F142" s="10">
        <f>IF(Table2[[#This Row],[Spender]]="MV",OFFSET(Table2[[#This Row],[MV Balance]],-1,0)-Table2[[#This Row],[Amount]],OFFSET(Table2[[#This Row],[MV Balance]],-1,0))</f>
        <v/>
      </c>
      <c r="G142" s="10">
        <f>SUM(E142:F142)</f>
        <v/>
      </c>
    </row>
    <row r="143">
      <c r="A143" s="8" t="n">
        <v>45888</v>
      </c>
      <c r="B143" s="18" t="n">
        <v>1030</v>
      </c>
      <c r="C143" t="inlineStr">
        <is>
          <t>MV</t>
        </is>
      </c>
      <c r="D143" s="3" t="inlineStr">
        <is>
          <t>4685192028866544919</t>
        </is>
      </c>
      <c r="E143" s="10">
        <f>IF(Table2[[#This Row],[Spender]]="YEONG",OFFSET(Table2[[#This Row],[My Actual Balance]],-1,0)-Table2[[#This Row],[Amount]],OFFSET(Table2[[#This Row],[My Actual Balance]],-1,0))</f>
        <v/>
      </c>
      <c r="F143" s="10">
        <f>IF(Table2[[#This Row],[Spender]]="MV",OFFSET(Table2[[#This Row],[MV Balance]],-1,0)-Table2[[#This Row],[Amount]],OFFSET(Table2[[#This Row],[MV Balance]],-1,0))</f>
        <v/>
      </c>
      <c r="G143" s="10">
        <f>SUM(E143:F143)</f>
        <v/>
      </c>
    </row>
    <row r="144">
      <c r="A144" s="8" t="n">
        <v>45888</v>
      </c>
      <c r="B144" s="18" t="n">
        <v>1020</v>
      </c>
      <c r="C144" t="inlineStr">
        <is>
          <t>MV</t>
        </is>
      </c>
      <c r="D144" s="3" t="inlineStr">
        <is>
          <t>4685029670500544919</t>
        </is>
      </c>
      <c r="E144" s="10">
        <f>IF(Table2[[#This Row],[Spender]]="YEONG",OFFSET(Table2[[#This Row],[My Actual Balance]],-1,0)-Table2[[#This Row],[Amount]],OFFSET(Table2[[#This Row],[My Actual Balance]],-1,0))</f>
        <v/>
      </c>
      <c r="F144" s="10">
        <f>IF(Table2[[#This Row],[Spender]]="MV",OFFSET(Table2[[#This Row],[MV Balance]],-1,0)-Table2[[#This Row],[Amount]],OFFSET(Table2[[#This Row],[MV Balance]],-1,0))</f>
        <v/>
      </c>
      <c r="G144" s="10">
        <f>SUM(E144:F144)</f>
        <v/>
      </c>
    </row>
    <row r="145">
      <c r="A145" s="8" t="n">
        <v>45888</v>
      </c>
      <c r="B145" s="18" t="n">
        <v>666</v>
      </c>
      <c r="C145" t="inlineStr">
        <is>
          <t>MV</t>
        </is>
      </c>
      <c r="D145" s="3" t="inlineStr">
        <is>
          <t>4685159991595544919</t>
        </is>
      </c>
      <c r="E145" s="10">
        <f>IF(Table2[[#This Row],[Spender]]="YEONG",OFFSET(Table2[[#This Row],[My Actual Balance]],-1,0)-Table2[[#This Row],[Amount]],OFFSET(Table2[[#This Row],[My Actual Balance]],-1,0))</f>
        <v/>
      </c>
      <c r="F145" s="10">
        <f>IF(Table2[[#This Row],[Spender]]="MV",OFFSET(Table2[[#This Row],[MV Balance]],-1,0)-Table2[[#This Row],[Amount]],OFFSET(Table2[[#This Row],[MV Balance]],-1,0))</f>
        <v/>
      </c>
      <c r="G145" s="10">
        <f>SUM(E145:F145)</f>
        <v/>
      </c>
    </row>
    <row r="146">
      <c r="A146" s="8" t="n">
        <v>45892</v>
      </c>
      <c r="B146" s="18" t="n">
        <v>21.2</v>
      </c>
      <c r="C146" t="inlineStr">
        <is>
          <t>YEONG</t>
        </is>
      </c>
      <c r="D146" s="3" t="inlineStr">
        <is>
          <t>Food</t>
        </is>
      </c>
      <c r="E146" s="10">
        <f>IF(Table2[[#This Row],[Spender]]="YEONG",OFFSET(Table2[[#This Row],[My Actual Balance]],-1,0)-Table2[[#This Row],[Amount]],OFFSET(Table2[[#This Row],[My Actual Balance]],-1,0))</f>
        <v/>
      </c>
      <c r="F146" s="10">
        <f>IF(Table2[[#This Row],[Spender]]="MV",OFFSET(Table2[[#This Row],[MV Balance]],-1,0)-Table2[[#This Row],[Amount]],OFFSET(Table2[[#This Row],[MV Balance]],-1,0))</f>
        <v/>
      </c>
      <c r="G146" s="10">
        <f>SUM(E146:F146)</f>
        <v/>
      </c>
    </row>
    <row r="147">
      <c r="A147" s="8" t="n">
        <v>45894</v>
      </c>
      <c r="B147" s="18" t="n">
        <v>433</v>
      </c>
      <c r="C147" t="inlineStr">
        <is>
          <t>MV</t>
        </is>
      </c>
      <c r="D147" s="3" t="inlineStr">
        <is>
          <t>4702097521439544919</t>
        </is>
      </c>
      <c r="E147" s="10">
        <f>IF(Table2[[#This Row],[Spender]]="YEONG",OFFSET(Table2[[#This Row],[My Actual Balance]],-1,0)-Table2[[#This Row],[Amount]],OFFSET(Table2[[#This Row],[My Actual Balance]],-1,0))</f>
        <v/>
      </c>
      <c r="F147" s="10">
        <f>IF(Table2[[#This Row],[Spender]]="MV",OFFSET(Table2[[#This Row],[MV Balance]],-1,0)-Table2[[#This Row],[Amount]],OFFSET(Table2[[#This Row],[MV Balance]],-1,0))</f>
        <v/>
      </c>
      <c r="G147" s="10">
        <f>SUM(E147:F147)</f>
        <v/>
      </c>
    </row>
    <row r="148">
      <c r="A148" s="8" t="n">
        <v>45894</v>
      </c>
      <c r="B148" s="18" t="n">
        <v>-10000</v>
      </c>
      <c r="C148" t="inlineStr">
        <is>
          <t>MV</t>
        </is>
      </c>
      <c r="D148" s="3" t="inlineStr">
        <is>
          <t>TOP UP</t>
        </is>
      </c>
      <c r="E148" s="10">
        <f>IF(Table2[[#This Row],[Spender]]="YEONG",OFFSET(Table2[[#This Row],[My Actual Balance]],-1,0)-Table2[[#This Row],[Amount]],OFFSET(Table2[[#This Row],[My Actual Balance]],-1,0))</f>
        <v/>
      </c>
      <c r="F148" s="10">
        <f>IF(Table2[[#This Row],[Spender]]="MV",OFFSET(Table2[[#This Row],[MV Balance]],-1,0)-Table2[[#This Row],[Amount]],OFFSET(Table2[[#This Row],[MV Balance]],-1,0))</f>
        <v/>
      </c>
      <c r="G148" s="10">
        <f>SUM(E148:F148)</f>
        <v/>
      </c>
    </row>
    <row r="149">
      <c r="A149" s="1" t="n">
        <v>45895</v>
      </c>
      <c r="B149" s="18" t="n">
        <v>4000</v>
      </c>
      <c r="C149" t="inlineStr">
        <is>
          <t>YEONG</t>
        </is>
      </c>
      <c r="D149" s="3" t="inlineStr">
        <is>
          <t>Transfer to YSB</t>
        </is>
      </c>
      <c r="E149" s="10">
        <f>IF(Table2[[#This Row],[Spender]]="YEONG",OFFSET(Table2[[#This Row],[My Actual Balance]],-1,0)-Table2[[#This Row],[Amount]],OFFSET(Table2[[#This Row],[My Actual Balance]],-1,0))</f>
        <v/>
      </c>
      <c r="F149" s="10">
        <f>IF(Table2[[#This Row],[Spender]]="MV",OFFSET(Table2[[#This Row],[MV Balance]],-1,0)-Table2[[#This Row],[Amount]],OFFSET(Table2[[#This Row],[MV Balance]],-1,0))</f>
        <v/>
      </c>
      <c r="G149" s="10">
        <f>SUM(E149:F149)</f>
        <v/>
      </c>
    </row>
    <row r="150">
      <c r="A150" s="1" t="n">
        <v>45896</v>
      </c>
      <c r="B150" s="18" t="n">
        <v>2324.82</v>
      </c>
      <c r="C150" t="inlineStr">
        <is>
          <t>MV</t>
        </is>
      </c>
      <c r="D150" s="3" t="inlineStr">
        <is>
          <t>XH20250826020</t>
        </is>
      </c>
      <c r="E150" s="10">
        <f>IF(Table2[[#This Row],[Spender]]="YEONG",OFFSET(Table2[[#This Row],[My Actual Balance]],-1,0)-Table2[[#This Row],[Amount]],OFFSET(Table2[[#This Row],[My Actual Balance]],-1,0))</f>
        <v/>
      </c>
      <c r="F150" s="10">
        <f>IF(Table2[[#This Row],[Spender]]="MV",OFFSET(Table2[[#This Row],[MV Balance]],-1,0)-Table2[[#This Row],[Amount]],OFFSET(Table2[[#This Row],[MV Balance]],-1,0))</f>
        <v/>
      </c>
      <c r="G150" s="10">
        <f>SUM(E150:F150)</f>
        <v/>
      </c>
    </row>
    <row r="151">
      <c r="A151" s="1" t="n">
        <v>45896</v>
      </c>
      <c r="B151" s="18" t="n">
        <v>253</v>
      </c>
      <c r="C151" t="inlineStr">
        <is>
          <t>MV</t>
        </is>
      </c>
      <c r="D151" s="3" t="inlineStr">
        <is>
          <t>Shipment for XH20250826020 and XH20250612007</t>
        </is>
      </c>
      <c r="E151" s="10">
        <f>IF(Table2[[#This Row],[Spender]]="YEONG",OFFSET(Table2[[#This Row],[My Actual Balance]],-1,0)-Table2[[#This Row],[Amount]],OFFSET(Table2[[#This Row],[My Actual Balance]],-1,0))</f>
        <v/>
      </c>
      <c r="F151" s="10">
        <f>IF(Table2[[#This Row],[Spender]]="MV",OFFSET(Table2[[#This Row],[MV Balance]],-1,0)-Table2[[#This Row],[Amount]],OFFSET(Table2[[#This Row],[MV Balance]],-1,0))</f>
        <v/>
      </c>
      <c r="G151" s="10">
        <f>SUM(E151:F151)</f>
        <v/>
      </c>
    </row>
    <row r="152">
      <c r="A152" s="1" t="n">
        <v>45897</v>
      </c>
      <c r="B152" s="18" t="n">
        <v>1000</v>
      </c>
      <c r="C152" t="inlineStr">
        <is>
          <t>MV</t>
        </is>
      </c>
      <c r="D152" s="3" t="inlineStr">
        <is>
          <t>4706047551224544919</t>
        </is>
      </c>
      <c r="E152" s="10">
        <f>IF(Table2[[#This Row],[Spender]]="YEONG",OFFSET(Table2[[#This Row],[My Actual Balance]],-1,0)-Table2[[#This Row],[Amount]],OFFSET(Table2[[#This Row],[My Actual Balance]],-1,0))</f>
        <v/>
      </c>
      <c r="F152" s="10">
        <f>IF(Table2[[#This Row],[Spender]]="MV",OFFSET(Table2[[#This Row],[MV Balance]],-1,0)-Table2[[#This Row],[Amount]],OFFSET(Table2[[#This Row],[MV Balance]],-1,0))</f>
        <v/>
      </c>
      <c r="G152" s="10">
        <f>SUM(E152:F152)</f>
        <v/>
      </c>
    </row>
    <row r="153">
      <c r="A153" s="1" t="n">
        <v>45897</v>
      </c>
      <c r="B153" s="18" t="n">
        <v>750</v>
      </c>
      <c r="C153" t="inlineStr">
        <is>
          <t>MV</t>
        </is>
      </c>
      <c r="D153" s="3" t="inlineStr">
        <is>
          <t>4705970905315544919</t>
        </is>
      </c>
      <c r="E153" s="10">
        <f>IF(Table2[[#This Row],[Spender]]="YEONG",OFFSET(Table2[[#This Row],[My Actual Balance]],-1,0)-Table2[[#This Row],[Amount]],OFFSET(Table2[[#This Row],[My Actual Balance]],-1,0))</f>
        <v/>
      </c>
      <c r="F153" s="10">
        <f>IF(Table2[[#This Row],[Spender]]="MV",OFFSET(Table2[[#This Row],[MV Balance]],-1,0)-Table2[[#This Row],[Amount]],OFFSET(Table2[[#This Row],[MV Balance]],-1,0))</f>
        <v/>
      </c>
      <c r="G153" s="10">
        <f>SUM(E153:F153)</f>
        <v/>
      </c>
    </row>
    <row r="154">
      <c r="A154" s="1" t="n">
        <v>45897</v>
      </c>
      <c r="B154" s="18" t="n">
        <v>855</v>
      </c>
      <c r="C154" t="inlineStr">
        <is>
          <t>MV</t>
        </is>
      </c>
      <c r="D154" s="3" t="inlineStr">
        <is>
          <t>4706113068275544919</t>
        </is>
      </c>
      <c r="E154" s="10">
        <f>IF(Table2[[#This Row],[Spender]]="YEONG",OFFSET(Table2[[#This Row],[My Actual Balance]],-1,0)-Table2[[#This Row],[Amount]],OFFSET(Table2[[#This Row],[My Actual Balance]],-1,0))</f>
        <v/>
      </c>
      <c r="F154" s="10">
        <f>IF(Table2[[#This Row],[Spender]]="MV",OFFSET(Table2[[#This Row],[MV Balance]],-1,0)-Table2[[#This Row],[Amount]],OFFSET(Table2[[#This Row],[MV Balance]],-1,0))</f>
        <v/>
      </c>
      <c r="G154" s="10">
        <f>SUM(E154:F154)</f>
        <v/>
      </c>
    </row>
    <row r="155">
      <c r="A155" s="1" t="n">
        <v>45898</v>
      </c>
      <c r="B155" s="18" t="n">
        <v>96</v>
      </c>
      <c r="C155" t="inlineStr">
        <is>
          <t>YEONG</t>
        </is>
      </c>
      <c r="D155" s="3" t="inlineStr">
        <is>
          <t>Flower</t>
        </is>
      </c>
      <c r="E155" s="10">
        <f>IF(Table2[[#This Row],[Spender]]="YEONG",OFFSET(Table2[[#This Row],[My Actual Balance]],-1,0)-Table2[[#This Row],[Amount]],OFFSET(Table2[[#This Row],[My Actual Balance]],-1,0))</f>
        <v/>
      </c>
      <c r="F155" s="10">
        <f>IF(Table2[[#This Row],[Spender]]="MV",OFFSET(Table2[[#This Row],[MV Balance]],-1,0)-Table2[[#This Row],[Amount]],OFFSET(Table2[[#This Row],[MV Balance]],-1,0))</f>
        <v/>
      </c>
      <c r="G155" s="10">
        <f>SUM(E155:F155)</f>
        <v/>
      </c>
    </row>
    <row r="156">
      <c r="A156" s="1" t="n">
        <v>45899</v>
      </c>
      <c r="B156" s="18" t="n">
        <v>46</v>
      </c>
      <c r="C156" t="inlineStr">
        <is>
          <t>YEONG</t>
        </is>
      </c>
      <c r="D156" s="3" t="inlineStr">
        <is>
          <t>flower</t>
        </is>
      </c>
      <c r="E156" s="10">
        <f>IF(Table2[[#This Row],[Spender]]="YEONG",OFFSET(Table2[[#This Row],[My Actual Balance]],-1,0)-Table2[[#This Row],[Amount]],OFFSET(Table2[[#This Row],[My Actual Balance]],-1,0))</f>
        <v/>
      </c>
      <c r="F156" s="10">
        <f>IF(Table2[[#This Row],[Spender]]="MV",OFFSET(Table2[[#This Row],[MV Balance]],-1,0)-Table2[[#This Row],[Amount]],OFFSET(Table2[[#This Row],[MV Balance]],-1,0))</f>
        <v/>
      </c>
      <c r="G156" s="10">
        <f>SUM(E156:F156)</f>
        <v/>
      </c>
    </row>
    <row r="157">
      <c r="A157" s="1" t="n">
        <v>45899</v>
      </c>
      <c r="B157" s="18" t="n">
        <v>7050</v>
      </c>
      <c r="C157" t="inlineStr">
        <is>
          <t>MV</t>
        </is>
      </c>
      <c r="D157" s="3" t="inlineStr">
        <is>
          <t>4710610514950544919</t>
        </is>
      </c>
      <c r="E157" s="10">
        <f>IF(Table2[[#This Row],[Spender]]="YEONG",OFFSET(Table2[[#This Row],[My Actual Balance]],-1,0)-Table2[[#This Row],[Amount]],OFFSET(Table2[[#This Row],[My Actual Balance]],-1,0))</f>
        <v/>
      </c>
      <c r="F157" s="10">
        <f>IF(Table2[[#This Row],[Spender]]="MV",OFFSET(Table2[[#This Row],[MV Balance]],-1,0)-Table2[[#This Row],[Amount]],OFFSET(Table2[[#This Row],[MV Balance]],-1,0))</f>
        <v/>
      </c>
      <c r="G157" s="10">
        <f>SUM(E157:F157)</f>
        <v/>
      </c>
    </row>
    <row r="158">
      <c r="A158" s="1" t="n">
        <v>45902</v>
      </c>
      <c r="B158" s="18" t="n">
        <v>-10000</v>
      </c>
      <c r="C158" t="inlineStr">
        <is>
          <t>MV</t>
        </is>
      </c>
      <c r="D158" s="3" t="inlineStr">
        <is>
          <t>Top up</t>
        </is>
      </c>
      <c r="E158" s="10">
        <f>IF(Table2[[#This Row],[Spender]]="YEONG",OFFSET(Table2[[#This Row],[My Actual Balance]],-1,0)-Table2[[#This Row],[Amount]],OFFSET(Table2[[#This Row],[My Actual Balance]],-1,0))</f>
        <v/>
      </c>
      <c r="F158" s="10">
        <f>IF(Table2[[#This Row],[Spender]]="MV",OFFSET(Table2[[#This Row],[MV Balance]],-1,0)-Table2[[#This Row],[Amount]],OFFSET(Table2[[#This Row],[MV Balance]],-1,0))</f>
        <v/>
      </c>
      <c r="G158" s="10">
        <f>SUM(E158:F158)</f>
        <v/>
      </c>
    </row>
    <row r="159">
      <c r="A159" s="1" t="n">
        <v>45903</v>
      </c>
      <c r="B159" s="18" t="n">
        <v>3608</v>
      </c>
      <c r="C159" t="inlineStr">
        <is>
          <t>MV</t>
        </is>
      </c>
      <c r="D159" s="3" t="inlineStr">
        <is>
          <t>4717546814126544919</t>
        </is>
      </c>
      <c r="E159" s="10">
        <f>IF(Table2[[#This Row],[Spender]]="YEONG",OFFSET(Table2[[#This Row],[My Actual Balance]],-1,0)-Table2[[#This Row],[Amount]],OFFSET(Table2[[#This Row],[My Actual Balance]],-1,0))</f>
        <v/>
      </c>
      <c r="F159" s="10">
        <f>IF(Table2[[#This Row],[Spender]]="MV",OFFSET(Table2[[#This Row],[MV Balance]],-1,0)-Table2[[#This Row],[Amount]],OFFSET(Table2[[#This Row],[MV Balance]],-1,0))</f>
        <v/>
      </c>
      <c r="G159" s="10">
        <f>SUM(E159:F159)</f>
        <v/>
      </c>
    </row>
    <row r="160">
      <c r="A160" s="1" t="n">
        <v>45904</v>
      </c>
      <c r="B160" s="18" t="n">
        <v>18.1</v>
      </c>
      <c r="C160" t="inlineStr">
        <is>
          <t>YEONG</t>
        </is>
      </c>
      <c r="D160" s="3" t="inlineStr">
        <is>
          <t>Purchase on taobao</t>
        </is>
      </c>
      <c r="E160" s="10">
        <f>IF(Table2[[#This Row],[Spender]]="YEONG",OFFSET(Table2[[#This Row],[My Actual Balance]],-1,0)-Table2[[#This Row],[Amount]],OFFSET(Table2[[#This Row],[My Actual Balance]],-1,0))</f>
        <v/>
      </c>
      <c r="F160" s="10">
        <f>IF(Table2[[#This Row],[Spender]]="MV",OFFSET(Table2[[#This Row],[MV Balance]],-1,0)-Table2[[#This Row],[Amount]],OFFSET(Table2[[#This Row],[MV Balance]],-1,0))</f>
        <v/>
      </c>
      <c r="G160" s="10">
        <f>SUM(E160:F160)</f>
        <v/>
      </c>
    </row>
    <row r="161">
      <c r="A161" s="1" t="n">
        <v>45905</v>
      </c>
      <c r="B161" s="18" t="n">
        <v>543</v>
      </c>
      <c r="C161" t="inlineStr">
        <is>
          <t>MV</t>
        </is>
      </c>
      <c r="D161" s="3" t="inlineStr">
        <is>
          <t>4717812024350544919</t>
        </is>
      </c>
      <c r="E161" s="10">
        <f>IF(Table2[[#This Row],[Spender]]="YEONG",OFFSET(Table2[[#This Row],[My Actual Balance]],-1,0)-Table2[[#This Row],[Amount]],OFFSET(Table2[[#This Row],[My Actual Balance]],-1,0))</f>
        <v/>
      </c>
      <c r="F161" s="10">
        <f>IF(Table2[[#This Row],[Spender]]="MV",OFFSET(Table2[[#This Row],[MV Balance]],-1,0)-Table2[[#This Row],[Amount]],OFFSET(Table2[[#This Row],[MV Balance]],-1,0))</f>
        <v/>
      </c>
      <c r="G161" s="10">
        <f>SUM(E161:F161)</f>
        <v/>
      </c>
    </row>
    <row r="162">
      <c r="A162" s="1" t="n">
        <v>45905</v>
      </c>
      <c r="B162" s="18" t="n">
        <v>1050</v>
      </c>
      <c r="C162" t="inlineStr">
        <is>
          <t>MV</t>
        </is>
      </c>
      <c r="D162" s="3" t="inlineStr">
        <is>
          <t>4717535762493544919</t>
        </is>
      </c>
      <c r="E162" s="10">
        <f>IF(Table2[[#This Row],[Spender]]="YEONG",OFFSET(Table2[[#This Row],[My Actual Balance]],-1,0)-Table2[[#This Row],[Amount]],OFFSET(Table2[[#This Row],[My Actual Balance]],-1,0))</f>
        <v/>
      </c>
      <c r="F162" s="10">
        <f>IF(Table2[[#This Row],[Spender]]="MV",OFFSET(Table2[[#This Row],[MV Balance]],-1,0)-Table2[[#This Row],[Amount]],OFFSET(Table2[[#This Row],[MV Balance]],-1,0))</f>
        <v/>
      </c>
      <c r="G162" s="10">
        <f>SUM(E162:F162)</f>
        <v/>
      </c>
    </row>
    <row r="163">
      <c r="A163" s="1" t="n">
        <v>45905</v>
      </c>
      <c r="B163" s="18" t="n">
        <v>311</v>
      </c>
      <c r="C163" t="inlineStr">
        <is>
          <t>MV</t>
        </is>
      </c>
      <c r="D163" s="3" t="inlineStr">
        <is>
          <t>4717536842272544919</t>
        </is>
      </c>
      <c r="E163" s="10">
        <f>IF(Table2[[#This Row],[Spender]]="YEONG",OFFSET(Table2[[#This Row],[My Actual Balance]],-1,0)-Table2[[#This Row],[Amount]],OFFSET(Table2[[#This Row],[My Actual Balance]],-1,0))</f>
        <v/>
      </c>
      <c r="F163" s="10">
        <f>IF(Table2[[#This Row],[Spender]]="MV",OFFSET(Table2[[#This Row],[MV Balance]],-1,0)-Table2[[#This Row],[Amount]],OFFSET(Table2[[#This Row],[MV Balance]],-1,0))</f>
        <v/>
      </c>
      <c r="G163" s="10">
        <f>SUM(E163:F163)</f>
        <v/>
      </c>
    </row>
    <row r="164">
      <c r="A164" s="1" t="n">
        <v>45910</v>
      </c>
      <c r="B164" s="18" t="n">
        <v>719</v>
      </c>
      <c r="C164" t="inlineStr">
        <is>
          <t>MV</t>
        </is>
      </c>
      <c r="D164" s="3" t="inlineStr">
        <is>
          <t>4732995169174544919</t>
        </is>
      </c>
      <c r="E164" s="10">
        <f>IF(Table2[[#This Row],[Spender]]="YEONG",OFFSET(Table2[[#This Row],[My Actual Balance]],-1,0)-Table2[[#This Row],[Amount]],OFFSET(Table2[[#This Row],[My Actual Balance]],-1,0))</f>
        <v/>
      </c>
      <c r="F164" s="10">
        <f>IF(Table2[[#This Row],[Spender]]="MV",OFFSET(Table2[[#This Row],[MV Balance]],-1,0)-Table2[[#This Row],[Amount]],OFFSET(Table2[[#This Row],[MV Balance]],-1,0))</f>
        <v/>
      </c>
      <c r="G164" s="10">
        <f>SUM(E164:F164)</f>
        <v/>
      </c>
    </row>
    <row r="165">
      <c r="A165" s="1" t="n">
        <v>45910</v>
      </c>
      <c r="B165" s="18" t="n">
        <v>1040</v>
      </c>
      <c r="C165" t="inlineStr">
        <is>
          <t>MV</t>
        </is>
      </c>
      <c r="D165" s="3" t="inlineStr">
        <is>
          <t>4733080740873544919</t>
        </is>
      </c>
      <c r="E165" s="10">
        <f>IF(Table2[[#This Row],[Spender]]="YEONG",OFFSET(Table2[[#This Row],[My Actual Balance]],-1,0)-Table2[[#This Row],[Amount]],OFFSET(Table2[[#This Row],[My Actual Balance]],-1,0))</f>
        <v/>
      </c>
      <c r="F165" s="10">
        <f>IF(Table2[[#This Row],[Spender]]="MV",OFFSET(Table2[[#This Row],[MV Balance]],-1,0)-Table2[[#This Row],[Amount]],OFFSET(Table2[[#This Row],[MV Balance]],-1,0))</f>
        <v/>
      </c>
      <c r="G165" s="10">
        <f>SUM(E165:F165)</f>
        <v/>
      </c>
    </row>
    <row r="166">
      <c r="A166" s="1" t="n">
        <v>45912</v>
      </c>
      <c r="B166" s="18" t="n">
        <v>250</v>
      </c>
      <c r="C166" t="inlineStr">
        <is>
          <t>MV</t>
        </is>
      </c>
      <c r="D166" s="3" t="inlineStr">
        <is>
          <t>4717427905202544919</t>
        </is>
      </c>
      <c r="E166" s="10">
        <f>IF(Table2[[#This Row],[Spender]]="YEONG",OFFSET(Table2[[#This Row],[My Actual Balance]],-1,0)-Table2[[#This Row],[Amount]],OFFSET(Table2[[#This Row],[My Actual Balance]],-1,0))</f>
        <v/>
      </c>
      <c r="F166" s="10">
        <f>IF(Table2[[#This Row],[Spender]]="MV",OFFSET(Table2[[#This Row],[MV Balance]],-1,0)-Table2[[#This Row],[Amount]],OFFSET(Table2[[#This Row],[MV Balance]],-1,0))</f>
        <v/>
      </c>
      <c r="G166" s="10">
        <f>SUM(E166:F166)</f>
        <v/>
      </c>
    </row>
    <row r="167">
      <c r="A167" s="1" t="n">
        <v>45912</v>
      </c>
      <c r="B167" s="18" t="n">
        <v>878.63</v>
      </c>
      <c r="C167" t="inlineStr">
        <is>
          <t>MV</t>
        </is>
      </c>
      <c r="D167" s="3" t="inlineStr">
        <is>
          <t>4737596042338544919</t>
        </is>
      </c>
      <c r="E167" s="10">
        <f>IF(Table2[[#This Row],[Spender]]="YEONG",OFFSET(Table2[[#This Row],[My Actual Balance]],-1,0)-Table2[[#This Row],[Amount]],OFFSET(Table2[[#This Row],[My Actual Balance]],-1,0))</f>
        <v/>
      </c>
      <c r="F167" s="10">
        <f>IF(Table2[[#This Row],[Spender]]="MV",OFFSET(Table2[[#This Row],[MV Balance]],-1,0)-Table2[[#This Row],[Amount]],OFFSET(Table2[[#This Row],[MV Balance]],-1,0))</f>
        <v/>
      </c>
      <c r="G167" s="10">
        <f>SUM(E167:F167)</f>
        <v/>
      </c>
    </row>
    <row r="168">
      <c r="A168" s="1" t="n">
        <v>45919</v>
      </c>
      <c r="B168" s="18" t="n">
        <v>940</v>
      </c>
      <c r="C168" t="inlineStr">
        <is>
          <t>MV</t>
        </is>
      </c>
      <c r="D168" s="3" t="inlineStr">
        <is>
          <t>4753770481403544919</t>
        </is>
      </c>
      <c r="E168" s="10">
        <f>IF(Table2[[#This Row],[Spender]]="YEONG",OFFSET(Table2[[#This Row],[My Actual Balance]],-1,0)-Table2[[#This Row],[Amount]],OFFSET(Table2[[#This Row],[My Actual Balance]],-1,0))</f>
        <v/>
      </c>
      <c r="F168" s="10">
        <f>IF(Table2[[#This Row],[Spender]]="MV",OFFSET(Table2[[#This Row],[MV Balance]],-1,0)-Table2[[#This Row],[Amount]],OFFSET(Table2[[#This Row],[MV Balance]],-1,0))</f>
        <v/>
      </c>
      <c r="G168" s="10">
        <f>SUM(E168:F168)</f>
        <v/>
      </c>
    </row>
    <row r="169">
      <c r="A169" s="1" t="n">
        <v>45922</v>
      </c>
      <c r="B169" s="18" t="n">
        <v>743</v>
      </c>
      <c r="C169" t="inlineStr">
        <is>
          <t>MV</t>
        </is>
      </c>
      <c r="D169" s="3" t="inlineStr">
        <is>
          <t>4761042048793544919</t>
        </is>
      </c>
      <c r="E169" s="10">
        <f>IF(Table2[[#This Row],[Spender]]="YEONG",OFFSET(Table2[[#This Row],[My Actual Balance]],-1,0)-Table2[[#This Row],[Amount]],OFFSET(Table2[[#This Row],[My Actual Balance]],-1,0))</f>
        <v/>
      </c>
      <c r="F169" s="10">
        <f>IF(Table2[[#This Row],[Spender]]="MV",OFFSET(Table2[[#This Row],[MV Balance]],-1,0)-Table2[[#This Row],[Amount]],OFFSET(Table2[[#This Row],[MV Balance]],-1,0))</f>
        <v/>
      </c>
      <c r="G169" s="10">
        <f>SUM(E169:F169)</f>
        <v/>
      </c>
    </row>
    <row r="170">
      <c r="A170" s="1" t="n">
        <v>45924</v>
      </c>
      <c r="B170" s="18" t="n">
        <v>1206</v>
      </c>
      <c r="C170" t="inlineStr">
        <is>
          <t>MV</t>
        </is>
      </c>
      <c r="D170" s="3" t="inlineStr">
        <is>
          <t>4763599419113098044</t>
        </is>
      </c>
      <c r="E170" s="10">
        <f>IF(Table2[[#This Row],[Spender]]="YEONG",OFFSET(Table2[[#This Row],[My Actual Balance]],-1,0)-Table2[[#This Row],[Amount]],OFFSET(Table2[[#This Row],[My Actual Balance]],-1,0))</f>
        <v/>
      </c>
      <c r="F170" s="10">
        <f>IF(Table2[[#This Row],[Spender]]="MV",OFFSET(Table2[[#This Row],[MV Balance]],-1,0)-Table2[[#This Row],[Amount]],OFFSET(Table2[[#This Row],[MV Balance]],-1,0))</f>
        <v/>
      </c>
      <c r="G170" s="10">
        <f>SUM(E170:F170)</f>
        <v/>
      </c>
    </row>
    <row r="171">
      <c r="A171" s="1" t="n">
        <v>45924</v>
      </c>
      <c r="B171" s="18" t="n">
        <v>-1.37</v>
      </c>
      <c r="C171" t="inlineStr">
        <is>
          <t>YEONG</t>
        </is>
      </c>
      <c r="D171" s="3" t="inlineStr">
        <is>
          <t>interest gain</t>
        </is>
      </c>
      <c r="E171" s="10">
        <f>IF(Table2[[#This Row],[Spender]]="YEONG",OFFSET(Table2[[#This Row],[My Actual Balance]],-1,0)-Table2[[#This Row],[Amount]],OFFSET(Table2[[#This Row],[My Actual Balance]],-1,0))</f>
        <v/>
      </c>
      <c r="F171" s="10">
        <f>IF(Table2[[#This Row],[Spender]]="MV",OFFSET(Table2[[#This Row],[MV Balance]],-1,0)-Table2[[#This Row],[Amount]],OFFSET(Table2[[#This Row],[MV Balance]],-1,0))</f>
        <v/>
      </c>
      <c r="G171" s="10">
        <f>SUM(E171:F171)</f>
        <v/>
      </c>
    </row>
    <row r="172">
      <c r="A172" s="1" t="n">
        <v>45925</v>
      </c>
      <c r="B172" s="18" t="n">
        <v>-10000</v>
      </c>
      <c r="C172" t="inlineStr">
        <is>
          <t>MV</t>
        </is>
      </c>
      <c r="D172" s="3" t="inlineStr">
        <is>
          <t>Top up</t>
        </is>
      </c>
      <c r="E172" s="10">
        <f>IF(Table2[[#This Row],[Spender]]="YEONG",OFFSET(Table2[[#This Row],[My Actual Balance]],-1,0)-Table2[[#This Row],[Amount]],OFFSET(Table2[[#This Row],[My Actual Balance]],-1,0))</f>
        <v/>
      </c>
      <c r="F172" s="10">
        <f>IF(Table2[[#This Row],[Spender]]="MV",OFFSET(Table2[[#This Row],[MV Balance]],-1,0)-Table2[[#This Row],[Amount]],OFFSET(Table2[[#This Row],[MV Balance]],-1,0))</f>
        <v/>
      </c>
      <c r="G172" s="10">
        <f>SUM(E172:F172)</f>
        <v/>
      </c>
    </row>
    <row r="173">
      <c r="A173" s="1" t="n">
        <v>45925</v>
      </c>
      <c r="B173" s="18" t="n">
        <v>447</v>
      </c>
      <c r="C173" t="inlineStr">
        <is>
          <t>MV</t>
        </is>
      </c>
      <c r="D173" s="3" t="inlineStr">
        <is>
          <t>4767674006862544919</t>
        </is>
      </c>
      <c r="E173" s="10">
        <f>IF(Table2[[#This Row],[Spender]]="YEONG",OFFSET(Table2[[#This Row],[My Actual Balance]],-1,0)-Table2[[#This Row],[Amount]],OFFSET(Table2[[#This Row],[My Actual Balance]],-1,0))</f>
        <v/>
      </c>
      <c r="F173" s="10">
        <f>IF(Table2[[#This Row],[Spender]]="MV",OFFSET(Table2[[#This Row],[MV Balance]],-1,0)-Table2[[#This Row],[Amount]],OFFSET(Table2[[#This Row],[MV Balance]],-1,0))</f>
        <v/>
      </c>
      <c r="G173" s="10">
        <f>SUM(E173:F173)</f>
        <v/>
      </c>
    </row>
    <row r="174">
      <c r="A174" s="1" t="n">
        <v>45925</v>
      </c>
      <c r="B174" s="18" t="n">
        <v>4220</v>
      </c>
      <c r="C174" t="inlineStr">
        <is>
          <t>MV</t>
        </is>
      </c>
      <c r="D174" s="3" t="inlineStr">
        <is>
          <t>4767794498669544919</t>
        </is>
      </c>
      <c r="E174" s="10">
        <f>IF(Table2[[#This Row],[Spender]]="YEONG",OFFSET(Table2[[#This Row],[My Actual Balance]],-1,0)-Table2[[#This Row],[Amount]],OFFSET(Table2[[#This Row],[My Actual Balance]],-1,0))</f>
        <v/>
      </c>
      <c r="F174" s="10">
        <f>IF(Table2[[#This Row],[Spender]]="MV",OFFSET(Table2[[#This Row],[MV Balance]],-1,0)-Table2[[#This Row],[Amount]],OFFSET(Table2[[#This Row],[MV Balance]],-1,0))</f>
        <v/>
      </c>
      <c r="G174" s="10">
        <f>SUM(E174:F174)</f>
        <v/>
      </c>
    </row>
    <row r="175">
      <c r="A175" s="1" t="n">
        <v>45927</v>
      </c>
      <c r="B175" s="18" t="n">
        <v>1040</v>
      </c>
      <c r="C175" t="inlineStr">
        <is>
          <t>MV</t>
        </is>
      </c>
      <c r="D175" t="inlineStr">
        <is>
          <t>4767919669513544919</t>
        </is>
      </c>
      <c r="E175" s="10">
        <f>IF(Table2[[#This Row],[Spender]]="YEONG",OFFSET(Table2[[#This Row],[My Actual Balance]],-1,0)-Table2[[#This Row],[Amount]],OFFSET(Table2[[#This Row],[My Actual Balance]],-1,0))</f>
        <v/>
      </c>
      <c r="F175" s="10">
        <f>IF(Table2[[#This Row],[Spender]]="MV",OFFSET(Table2[[#This Row],[MV Balance]],-1,0)-Table2[[#This Row],[Amount]],OFFSET(Table2[[#This Row],[MV Balance]],-1,0))</f>
        <v/>
      </c>
      <c r="G175" s="10">
        <f>SUM(E175:F175)</f>
        <v/>
      </c>
    </row>
    <row r="176">
      <c r="A176" s="1" t="n">
        <v>45927</v>
      </c>
      <c r="B176" s="18" t="n">
        <v>825</v>
      </c>
      <c r="C176" t="inlineStr">
        <is>
          <t>MV</t>
        </is>
      </c>
      <c r="D176" t="inlineStr">
        <is>
          <t>4767810194309544919</t>
        </is>
      </c>
      <c r="E176" s="10">
        <f>IF(Table2[[#This Row],[Spender]]="YEONG",OFFSET(Table2[[#This Row],[My Actual Balance]],-1,0)-Table2[[#This Row],[Amount]],OFFSET(Table2[[#This Row],[My Actual Balance]],-1,0))</f>
        <v/>
      </c>
      <c r="F176" s="10">
        <f>IF(Table2[[#This Row],[Spender]]="MV",OFFSET(Table2[[#This Row],[MV Balance]],-1,0)-Table2[[#This Row],[Amount]],OFFSET(Table2[[#This Row],[MV Balance]],-1,0))</f>
        <v/>
      </c>
      <c r="G176" s="10">
        <f>SUM(E176:F176)</f>
        <v/>
      </c>
    </row>
    <row r="177">
      <c r="A177" s="1" t="n">
        <v>45927</v>
      </c>
      <c r="B177" s="18" t="n">
        <v>575</v>
      </c>
      <c r="C177" t="inlineStr">
        <is>
          <t>MV</t>
        </is>
      </c>
      <c r="D177" t="inlineStr">
        <is>
          <t>4768036524748544919</t>
        </is>
      </c>
      <c r="E177" s="10">
        <f>IF(Table2[[#This Row],[Spender]]="YEONG",OFFSET(Table2[[#This Row],[My Actual Balance]],-1,0)-Table2[[#This Row],[Amount]],OFFSET(Table2[[#This Row],[My Actual Balance]],-1,0))</f>
        <v/>
      </c>
      <c r="F177" s="10">
        <f>IF(Table2[[#This Row],[Spender]]="MV",OFFSET(Table2[[#This Row],[MV Balance]],-1,0)-Table2[[#This Row],[Amount]],OFFSET(Table2[[#This Row],[MV Balance]],-1,0))</f>
        <v/>
      </c>
      <c r="G177" s="10">
        <f>SUM(E177:F177)</f>
        <v/>
      </c>
    </row>
    <row r="178">
      <c r="A178" s="1" t="n">
        <v>45940</v>
      </c>
      <c r="B178" s="18" t="n">
        <v>3000</v>
      </c>
      <c r="C178" t="inlineStr">
        <is>
          <t>MV</t>
        </is>
      </c>
      <c r="D178" s="3" t="inlineStr">
        <is>
          <t>XH20250929007</t>
        </is>
      </c>
      <c r="E178" s="10">
        <f>IF(Table2[[#This Row],[Spender]]="YEONG",OFFSET(Table2[[#This Row],[My Actual Balance]],-1,0)-Table2[[#This Row],[Amount]],OFFSET(Table2[[#This Row],[My Actual Balance]],-1,0))</f>
        <v/>
      </c>
      <c r="F178" s="10">
        <f>IF(Table2[[#This Row],[Spender]]="MV",OFFSET(Table2[[#This Row],[MV Balance]],-1,0)-Table2[[#This Row],[Amount]],OFFSET(Table2[[#This Row],[MV Balance]],-1,0))</f>
        <v/>
      </c>
      <c r="G178" s="10">
        <f>SUM(E178:F178)</f>
        <v/>
      </c>
    </row>
    <row r="179">
      <c r="A179" s="1" t="n">
        <v>45940</v>
      </c>
      <c r="B179" s="18" t="n">
        <v>-10000</v>
      </c>
      <c r="C179" t="inlineStr">
        <is>
          <t>MV</t>
        </is>
      </c>
      <c r="D179" s="3" t="inlineStr">
        <is>
          <t>Top Up</t>
        </is>
      </c>
      <c r="E179" s="10">
        <f>IF(Table2[[#This Row],[Spender]]="YEONG",OFFSET(Table2[[#This Row],[My Actual Balance]],-1,0)-Table2[[#This Row],[Amount]],OFFSET(Table2[[#This Row],[My Actual Balance]],-1,0))</f>
        <v/>
      </c>
      <c r="F179" s="10">
        <f>IF(Table2[[#This Row],[Spender]]="MV",OFFSET(Table2[[#This Row],[MV Balance]],-1,0)-Table2[[#This Row],[Amount]],OFFSET(Table2[[#This Row],[MV Balance]],-1,0))</f>
        <v/>
      </c>
      <c r="G179" s="10">
        <f>SUM(E179:F179)</f>
        <v/>
      </c>
    </row>
    <row r="180">
      <c r="A180" s="1" t="n">
        <v>45942</v>
      </c>
      <c r="B180" s="18" t="n">
        <v>880</v>
      </c>
      <c r="C180" t="inlineStr">
        <is>
          <t>MV</t>
        </is>
      </c>
      <c r="D180" s="3" t="inlineStr">
        <is>
          <t>4803250321950544919</t>
        </is>
      </c>
      <c r="E180" s="10">
        <f>IF(Table2[[#This Row],[Spender]]="YEONG",OFFSET(Table2[[#This Row],[My Actual Balance]],-1,0)-Table2[[#This Row],[Amount]],OFFSET(Table2[[#This Row],[My Actual Balance]],-1,0))</f>
        <v/>
      </c>
      <c r="F180" s="10">
        <f>IF(Table2[[#This Row],[Spender]]="MV",OFFSET(Table2[[#This Row],[MV Balance]],-1,0)-Table2[[#This Row],[Amount]],OFFSET(Table2[[#This Row],[MV Balance]],-1,0))</f>
        <v/>
      </c>
      <c r="G180" s="10">
        <f>SUM(E180:F180)</f>
        <v/>
      </c>
    </row>
    <row r="181">
      <c r="A181" s="1" t="n">
        <v>45943</v>
      </c>
      <c r="B181" s="18" t="n">
        <v>2900</v>
      </c>
      <c r="C181" t="inlineStr">
        <is>
          <t>MV</t>
        </is>
      </c>
      <c r="D181" s="3" t="inlineStr">
        <is>
          <t>4805266213289544919</t>
        </is>
      </c>
      <c r="E181" s="10">
        <f>IF(Table2[[#This Row],[Spender]]="YEONG",OFFSET(Table2[[#This Row],[My Actual Balance]],-1,0)-Table2[[#This Row],[Amount]],OFFSET(Table2[[#This Row],[My Actual Balance]],-1,0))</f>
        <v/>
      </c>
      <c r="F181" s="10">
        <f>IF(Table2[[#This Row],[Spender]]="MV",OFFSET(Table2[[#This Row],[MV Balance]],-1,0)-Table2[[#This Row],[Amount]],OFFSET(Table2[[#This Row],[MV Balance]],-1,0))</f>
        <v/>
      </c>
      <c r="G181" s="10">
        <f>SUM(E181:F181)</f>
        <v/>
      </c>
    </row>
    <row r="182">
      <c r="A182" s="1" t="n">
        <v>45943</v>
      </c>
      <c r="B182" s="18" t="n">
        <v>1894.9</v>
      </c>
      <c r="C182" t="inlineStr">
        <is>
          <t>MV</t>
        </is>
      </c>
      <c r="D182" s="3" t="inlineStr">
        <is>
          <t>4805090462544098044</t>
        </is>
      </c>
      <c r="E182" s="10">
        <f>IF(Table2[[#This Row],[Spender]]="YEONG",OFFSET(Table2[[#This Row],[My Actual Balance]],-1,0)-Table2[[#This Row],[Amount]],OFFSET(Table2[[#This Row],[My Actual Balance]],-1,0))</f>
        <v/>
      </c>
      <c r="F182" s="10">
        <f>IF(Table2[[#This Row],[Spender]]="MV",OFFSET(Table2[[#This Row],[MV Balance]],-1,0)-Table2[[#This Row],[Amount]],OFFSET(Table2[[#This Row],[MV Balance]],-1,0))</f>
        <v/>
      </c>
      <c r="G182" s="10">
        <f>SUM(E182:F182)</f>
        <v/>
      </c>
    </row>
    <row r="183">
      <c r="A183" s="1" t="n">
        <v>45944</v>
      </c>
      <c r="B183" s="18" t="n">
        <v>860</v>
      </c>
      <c r="C183" t="inlineStr">
        <is>
          <t>MV</t>
        </is>
      </c>
      <c r="D183" s="3" t="inlineStr">
        <is>
          <t>4803394320238544919</t>
        </is>
      </c>
      <c r="E183" s="10">
        <f>IF(Table2[[#This Row],[Spender]]="YEONG",OFFSET(Table2[[#This Row],[My Actual Balance]],-1,0)-Table2[[#This Row],[Amount]],OFFSET(Table2[[#This Row],[My Actual Balance]],-1,0))</f>
        <v/>
      </c>
      <c r="F183" s="10">
        <f>IF(Table2[[#This Row],[Spender]]="MV",OFFSET(Table2[[#This Row],[MV Balance]],-1,0)-Table2[[#This Row],[Amount]],OFFSET(Table2[[#This Row],[MV Balance]],-1,0))</f>
        <v/>
      </c>
      <c r="G183" s="10">
        <f>SUM(E183:F183)</f>
        <v/>
      </c>
    </row>
    <row r="184">
      <c r="A184" s="1" t="n">
        <v>45944</v>
      </c>
      <c r="B184" s="18" t="n">
        <v>1040</v>
      </c>
      <c r="C184" t="inlineStr">
        <is>
          <t>MV</t>
        </is>
      </c>
      <c r="D184" s="3" t="inlineStr">
        <is>
          <t>4803389316882544919</t>
        </is>
      </c>
      <c r="E184" s="10">
        <f>IF(Table2[[#This Row],[Spender]]="YEONG",OFFSET(Table2[[#This Row],[My Actual Balance]],-1,0)-Table2[[#This Row],[Amount]],OFFSET(Table2[[#This Row],[My Actual Balance]],-1,0))</f>
        <v/>
      </c>
      <c r="F184" s="10">
        <f>IF(Table2[[#This Row],[Spender]]="MV",OFFSET(Table2[[#This Row],[MV Balance]],-1,0)-Table2[[#This Row],[Amount]],OFFSET(Table2[[#This Row],[MV Balance]],-1,0))</f>
        <v/>
      </c>
      <c r="G184" s="10">
        <f>SUM(E184:F184)</f>
        <v/>
      </c>
    </row>
    <row r="185">
      <c r="A185" s="1" t="n">
        <v>45945</v>
      </c>
      <c r="B185" s="18" t="n">
        <v>3252.9</v>
      </c>
      <c r="C185" t="inlineStr">
        <is>
          <t>MV</t>
        </is>
      </c>
      <c r="D185" s="3" t="inlineStr">
        <is>
          <t>XH20251015002</t>
        </is>
      </c>
      <c r="E185" s="10">
        <f>IF(Table2[[#This Row],[Spender]]="YEONG",OFFSET(Table2[[#This Row],[My Actual Balance]],-1,0)-Table2[[#This Row],[Amount]],OFFSET(Table2[[#This Row],[My Actual Balance]],-1,0))</f>
        <v/>
      </c>
      <c r="F185" s="10">
        <f>IF(Table2[[#This Row],[Spender]]="MV",OFFSET(Table2[[#This Row],[MV Balance]],-1,0)-Table2[[#This Row],[Amount]],OFFSET(Table2[[#This Row],[MV Balance]],-1,0))</f>
        <v/>
      </c>
      <c r="G185" s="10">
        <f>SUM(E185:F185)</f>
        <v/>
      </c>
    </row>
    <row r="186">
      <c r="A186" s="1" t="n">
        <v>45946</v>
      </c>
      <c r="B186" s="18" t="n">
        <v>14.25</v>
      </c>
      <c r="C186" t="inlineStr">
        <is>
          <t>YEONG</t>
        </is>
      </c>
      <c r="D186" s="3" t="inlineStr">
        <is>
          <t>Food</t>
        </is>
      </c>
      <c r="E186" s="10">
        <f>IF(Table2[[#This Row],[Spender]]="YEONG",OFFSET(Table2[[#This Row],[My Actual Balance]],-1,0)-Table2[[#This Row],[Amount]],OFFSET(Table2[[#This Row],[My Actual Balance]],-1,0))</f>
        <v/>
      </c>
      <c r="F186" s="10">
        <f>IF(Table2[[#This Row],[Spender]]="MV",OFFSET(Table2[[#This Row],[MV Balance]],-1,0)-Table2[[#This Row],[Amount]],OFFSET(Table2[[#This Row],[MV Balance]],-1,0))</f>
        <v/>
      </c>
      <c r="G186" s="10">
        <f>SUM(E186:F186)</f>
        <v/>
      </c>
    </row>
    <row r="187">
      <c r="A187" s="1" t="n">
        <v>45946</v>
      </c>
      <c r="B187" s="18" t="n">
        <v>-10000</v>
      </c>
      <c r="C187" t="inlineStr">
        <is>
          <t>MV</t>
        </is>
      </c>
      <c r="D187" s="3" t="inlineStr">
        <is>
          <t>Top up</t>
        </is>
      </c>
      <c r="E187" s="10">
        <f>IF(Table2[[#This Row],[Spender]]="YEONG",OFFSET(Table2[[#This Row],[My Actual Balance]],-1,0)-Table2[[#This Row],[Amount]],OFFSET(Table2[[#This Row],[My Actual Balance]],-1,0))</f>
        <v/>
      </c>
      <c r="F187" s="10">
        <f>IF(Table2[[#This Row],[Spender]]="MV",OFFSET(Table2[[#This Row],[MV Balance]],-1,0)-Table2[[#This Row],[Amount]],OFFSET(Table2[[#This Row],[MV Balance]],-1,0))</f>
        <v/>
      </c>
      <c r="G187" s="10">
        <f>SUM(E187:F187)</f>
        <v/>
      </c>
    </row>
    <row r="188">
      <c r="A188" s="1" t="n">
        <v>45946</v>
      </c>
      <c r="B188" s="18" t="n">
        <v>5054.2</v>
      </c>
      <c r="C188" t="inlineStr">
        <is>
          <t>MV</t>
        </is>
      </c>
      <c r="D188" s="3" t="inlineStr">
        <is>
          <t>4811782755428544919</t>
        </is>
      </c>
      <c r="E188" s="10">
        <f>IF(Table2[[#This Row],[Spender]]="YEONG",OFFSET(Table2[[#This Row],[My Actual Balance]],-1,0)-Table2[[#This Row],[Amount]],OFFSET(Table2[[#This Row],[My Actual Balance]],-1,0))</f>
        <v/>
      </c>
      <c r="F188" s="10">
        <f>IF(Table2[[#This Row],[Spender]]="MV",OFFSET(Table2[[#This Row],[MV Balance]],-1,0)-Table2[[#This Row],[Amount]],OFFSET(Table2[[#This Row],[MV Balance]],-1,0))</f>
        <v/>
      </c>
      <c r="G188" s="10">
        <f>SUM(E188:F188)</f>
        <v/>
      </c>
    </row>
    <row r="189">
      <c r="A189" s="1" t="n">
        <v>45947</v>
      </c>
      <c r="B189" s="18" t="n">
        <v>1161</v>
      </c>
      <c r="C189" t="inlineStr">
        <is>
          <t>MV</t>
        </is>
      </c>
      <c r="D189" s="3" t="inlineStr">
        <is>
          <t>4803183182773098044</t>
        </is>
      </c>
      <c r="E189" s="10">
        <f>IF(Table2[[#This Row],[Spender]]="YEONG",OFFSET(Table2[[#This Row],[My Actual Balance]],-1,0)-Table2[[#This Row],[Amount]],OFFSET(Table2[[#This Row],[My Actual Balance]],-1,0))</f>
        <v/>
      </c>
      <c r="F189" s="10">
        <f>IF(Table2[[#This Row],[Spender]]="MV",OFFSET(Table2[[#This Row],[MV Balance]],-1,0)-Table2[[#This Row],[Amount]],OFFSET(Table2[[#This Row],[MV Balance]],-1,0))</f>
        <v/>
      </c>
      <c r="G189" s="10">
        <f>SUM(E189:F189)</f>
        <v/>
      </c>
    </row>
    <row r="190">
      <c r="A190" s="1" t="n">
        <v>45952</v>
      </c>
      <c r="B190" s="18" t="n">
        <v>703</v>
      </c>
      <c r="C190" t="inlineStr">
        <is>
          <t>MV</t>
        </is>
      </c>
      <c r="D190" s="3" t="inlineStr">
        <is>
          <t>4827677979655544919</t>
        </is>
      </c>
      <c r="E190" s="10">
        <f>IF(Table2[[#This Row],[Spender]]="YEONG",OFFSET(Table2[[#This Row],[My Actual Balance]],-1,0)-Table2[[#This Row],[Amount]],OFFSET(Table2[[#This Row],[My Actual Balance]],-1,0))</f>
        <v/>
      </c>
      <c r="F190" s="10">
        <f>IF(Table2[[#This Row],[Spender]]="MV",OFFSET(Table2[[#This Row],[MV Balance]],-1,0)-Table2[[#This Row],[Amount]],OFFSET(Table2[[#This Row],[MV Balance]],-1,0))</f>
        <v/>
      </c>
      <c r="G190" s="10">
        <f>SUM(E190:F190)</f>
        <v/>
      </c>
    </row>
    <row r="191">
      <c r="A191" s="1" t="n">
        <v>45954</v>
      </c>
      <c r="B191" s="18" t="n">
        <v>-10000</v>
      </c>
      <c r="C191" t="inlineStr">
        <is>
          <t>MV</t>
        </is>
      </c>
      <c r="D191" s="3" t="inlineStr">
        <is>
          <t>Top up</t>
        </is>
      </c>
      <c r="E191" s="10">
        <f>IF(Table2[[#This Row],[Spender]]="YEONG",OFFSET(Table2[[#This Row],[My Actual Balance]],-1,0)-Table2[[#This Row],[Amount]],OFFSET(Table2[[#This Row],[My Actual Balance]],-1,0))</f>
        <v/>
      </c>
      <c r="F191" s="10">
        <f>IF(Table2[[#This Row],[Spender]]="MV",OFFSET(Table2[[#This Row],[MV Balance]],-1,0)-Table2[[#This Row],[Amount]],OFFSET(Table2[[#This Row],[MV Balance]],-1,0))</f>
        <v/>
      </c>
      <c r="G191" s="10">
        <f>SUM(E191:F191)</f>
        <v/>
      </c>
    </row>
    <row r="192">
      <c r="A192" s="1" t="n">
        <v>45955</v>
      </c>
      <c r="B192" s="18" t="n">
        <v>984</v>
      </c>
      <c r="C192" t="inlineStr">
        <is>
          <t>MV</t>
        </is>
      </c>
      <c r="D192" s="3" t="inlineStr">
        <is>
          <t>4821073741713098044</t>
        </is>
      </c>
      <c r="E192" s="10">
        <f>IF(Table2[[#This Row],[Spender]]="YEONG",OFFSET(Table2[[#This Row],[My Actual Balance]],-1,0)-Table2[[#This Row],[Amount]],OFFSET(Table2[[#This Row],[My Actual Balance]],-1,0))</f>
        <v/>
      </c>
      <c r="F192" s="10">
        <f>IF(Table2[[#This Row],[Spender]]="MV",OFFSET(Table2[[#This Row],[MV Balance]],-1,0)-Table2[[#This Row],[Amount]],OFFSET(Table2[[#This Row],[MV Balance]],-1,0))</f>
        <v/>
      </c>
      <c r="G192" s="10">
        <f>SUM(E192:F192)</f>
        <v/>
      </c>
    </row>
    <row r="193">
      <c r="A193" s="1" t="n">
        <v>45955</v>
      </c>
      <c r="B193" s="18" t="n">
        <v>1100.5</v>
      </c>
      <c r="C193" t="inlineStr">
        <is>
          <t>MV</t>
        </is>
      </c>
      <c r="D193" s="3" t="inlineStr">
        <is>
          <t>4829659777363098044</t>
        </is>
      </c>
      <c r="E193" s="10">
        <f>IF(Table2[[#This Row],[Spender]]="YEONG",OFFSET(Table2[[#This Row],[My Actual Balance]],-1,0)-Table2[[#This Row],[Amount]],OFFSET(Table2[[#This Row],[My Actual Balance]],-1,0))</f>
        <v/>
      </c>
      <c r="F193" s="10">
        <f>IF(Table2[[#This Row],[Spender]]="MV",OFFSET(Table2[[#This Row],[MV Balance]],-1,0)-Table2[[#This Row],[Amount]],OFFSET(Table2[[#This Row],[MV Balance]],-1,0))</f>
        <v/>
      </c>
      <c r="G193" s="10">
        <f>SUM(E193:F193)</f>
        <v/>
      </c>
    </row>
    <row r="194">
      <c r="A194" s="1" t="n">
        <v>45955</v>
      </c>
      <c r="B194" s="18" t="n">
        <v>920</v>
      </c>
      <c r="C194" t="inlineStr">
        <is>
          <t>MV</t>
        </is>
      </c>
      <c r="D194" s="3" t="inlineStr">
        <is>
          <t>4834722675209544919</t>
        </is>
      </c>
      <c r="E194" s="10">
        <f>IF(Table2[[#This Row],[Spender]]="YEONG",OFFSET(Table2[[#This Row],[My Actual Balance]],-1,0)-Table2[[#This Row],[Amount]],OFFSET(Table2[[#This Row],[My Actual Balance]],-1,0))</f>
        <v/>
      </c>
      <c r="F194" s="10">
        <f>IF(Table2[[#This Row],[Spender]]="MV",OFFSET(Table2[[#This Row],[MV Balance]],-1,0)-Table2[[#This Row],[Amount]],OFFSET(Table2[[#This Row],[MV Balance]],-1,0))</f>
        <v/>
      </c>
      <c r="G194" s="10">
        <f>SUM(E194:F194)</f>
        <v/>
      </c>
    </row>
    <row r="195">
      <c r="A195" s="1" t="n">
        <v>45955</v>
      </c>
      <c r="B195" s="18" t="n">
        <v>613.4</v>
      </c>
      <c r="C195" t="inlineStr">
        <is>
          <t>MV</t>
        </is>
      </c>
      <c r="D195" s="3" t="inlineStr">
        <is>
          <t>4834649558710544919</t>
        </is>
      </c>
      <c r="E195" s="10">
        <f>IF(Table2[[#This Row],[Spender]]="YEONG",OFFSET(Table2[[#This Row],[My Actual Balance]],-1,0)-Table2[[#This Row],[Amount]],OFFSET(Table2[[#This Row],[My Actual Balance]],-1,0))</f>
        <v/>
      </c>
      <c r="F195" s="10">
        <f>IF(Table2[[#This Row],[Spender]]="MV",OFFSET(Table2[[#This Row],[MV Balance]],-1,0)-Table2[[#This Row],[Amount]],OFFSET(Table2[[#This Row],[MV Balance]],-1,0))</f>
        <v/>
      </c>
      <c r="G195" s="10">
        <f>SUM(E195:F195)</f>
        <v/>
      </c>
    </row>
    <row r="196">
      <c r="A196" s="1" t="n">
        <v>45957</v>
      </c>
      <c r="B196" s="18" t="n">
        <v>936</v>
      </c>
      <c r="C196" t="inlineStr">
        <is>
          <t>MV</t>
        </is>
      </c>
      <c r="D196" s="3" t="inlineStr">
        <is>
          <t>4834722135300544919</t>
        </is>
      </c>
      <c r="E196" s="10">
        <f>IF(Table2[[#This Row],[Spender]]="YEONG",OFFSET(Table2[[#This Row],[My Actual Balance]],-1,0)-Table2[[#This Row],[Amount]],OFFSET(Table2[[#This Row],[My Actual Balance]],-1,0))</f>
        <v/>
      </c>
      <c r="F196" s="10">
        <f>IF(Table2[[#This Row],[Spender]]="MV",OFFSET(Table2[[#This Row],[MV Balance]],-1,0)-Table2[[#This Row],[Amount]],OFFSET(Table2[[#This Row],[MV Balance]],-1,0))</f>
        <v/>
      </c>
      <c r="G196" s="10">
        <f>SUM(E196:F196)</f>
        <v/>
      </c>
    </row>
    <row r="197">
      <c r="A197" s="1" t="n">
        <v>45957</v>
      </c>
      <c r="B197" s="18" t="n">
        <v>618</v>
      </c>
      <c r="C197" t="inlineStr">
        <is>
          <t>MV</t>
        </is>
      </c>
      <c r="D197" s="3" t="inlineStr">
        <is>
          <t>4834879813992544919</t>
        </is>
      </c>
      <c r="E197" s="10">
        <f>IF(Table2[[#This Row],[Spender]]="YEONG",OFFSET(Table2[[#This Row],[My Actual Balance]],-1,0)-Table2[[#This Row],[Amount]],OFFSET(Table2[[#This Row],[My Actual Balance]],-1,0))</f>
        <v/>
      </c>
      <c r="F197" s="10">
        <f>IF(Table2[[#This Row],[Spender]]="MV",OFFSET(Table2[[#This Row],[MV Balance]],-1,0)-Table2[[#This Row],[Amount]],OFFSET(Table2[[#This Row],[MV Balance]],-1,0))</f>
        <v/>
      </c>
      <c r="G197" s="10">
        <f>SUM(E197:F197)</f>
        <v/>
      </c>
    </row>
    <row r="198">
      <c r="A198" s="1" t="n">
        <v>45960</v>
      </c>
      <c r="B198" s="18" t="n">
        <v>1520</v>
      </c>
      <c r="C198" t="inlineStr">
        <is>
          <t>MV</t>
        </is>
      </c>
      <c r="D198" s="3" t="inlineStr">
        <is>
          <t>4845895959278544919</t>
        </is>
      </c>
      <c r="E198" s="10">
        <f>IF(Table2[[#This Row],[Spender]]="YEONG",OFFSET(Table2[[#This Row],[My Actual Balance]],-1,0)-Table2[[#This Row],[Amount]],OFFSET(Table2[[#This Row],[My Actual Balance]],-1,0))</f>
        <v/>
      </c>
      <c r="F198" s="10">
        <f>IF(Table2[[#This Row],[Spender]]="MV",OFFSET(Table2[[#This Row],[MV Balance]],-1,0)-Table2[[#This Row],[Amount]],OFFSET(Table2[[#This Row],[MV Balance]],-1,0))</f>
        <v/>
      </c>
      <c r="G198" s="10">
        <f>SUM(E198:F198)</f>
        <v/>
      </c>
    </row>
    <row r="199">
      <c r="A199" s="1" t="n">
        <v>45961</v>
      </c>
      <c r="B199" s="18" t="n">
        <v>1125</v>
      </c>
      <c r="C199" t="inlineStr">
        <is>
          <t>MV</t>
        </is>
      </c>
      <c r="D199" s="3" t="inlineStr">
        <is>
          <t>4845850130784544919</t>
        </is>
      </c>
      <c r="E199" s="10">
        <f>IF(Table2[[#This Row],[Spender]]="YEONG",OFFSET(Table2[[#This Row],[My Actual Balance]],-1,0)-Table2[[#This Row],[Amount]],OFFSET(Table2[[#This Row],[My Actual Balance]],-1,0))</f>
        <v/>
      </c>
      <c r="F199" s="10">
        <f>IF(Table2[[#This Row],[Spender]]="MV",OFFSET(Table2[[#This Row],[MV Balance]],-1,0)-Table2[[#This Row],[Amount]],OFFSET(Table2[[#This Row],[MV Balance]],-1,0))</f>
        <v/>
      </c>
      <c r="G199" s="10">
        <f>SUM(E199:F199)</f>
        <v/>
      </c>
    </row>
    <row r="200">
      <c r="A200" s="1" t="n">
        <v>45962</v>
      </c>
      <c r="B200" s="18" t="n">
        <v>960</v>
      </c>
      <c r="C200" t="inlineStr">
        <is>
          <t>MV</t>
        </is>
      </c>
      <c r="D200" s="3" t="inlineStr">
        <is>
          <t>4844041347117544919</t>
        </is>
      </c>
      <c r="E200" s="10">
        <f>IF(Table2[[#This Row],[Spender]]="YEONG",OFFSET(Table2[[#This Row],[My Actual Balance]],-1,0)-Table2[[#This Row],[Amount]],OFFSET(Table2[[#This Row],[My Actual Balance]],-1,0))</f>
        <v/>
      </c>
      <c r="F200" s="10">
        <f>IF(Table2[[#This Row],[Spender]]="MV",OFFSET(Table2[[#This Row],[MV Balance]],-1,0)-Table2[[#This Row],[Amount]],OFFSET(Table2[[#This Row],[MV Balance]],-1,0))</f>
        <v/>
      </c>
      <c r="G200" s="10">
        <f>SUM(E200:F200)</f>
        <v/>
      </c>
    </row>
    <row r="201">
      <c r="A201" s="1" t="n">
        <v>45965</v>
      </c>
      <c r="B201" s="18" t="n">
        <v>2780</v>
      </c>
      <c r="C201" t="inlineStr">
        <is>
          <t>MV</t>
        </is>
      </c>
      <c r="D201" s="3" t="inlineStr">
        <is>
          <t>4855657683676544919</t>
        </is>
      </c>
      <c r="E201" s="10">
        <f>IF(Table2[[#This Row],[Spender]]="YEONG",OFFSET(Table2[[#This Row],[My Actual Balance]],-1,0)-Table2[[#This Row],[Amount]],OFFSET(Table2[[#This Row],[My Actual Balance]],-1,0))</f>
        <v/>
      </c>
      <c r="F201" s="10">
        <f>IF(Table2[[#This Row],[Spender]]="MV",OFFSET(Table2[[#This Row],[MV Balance]],-1,0)-Table2[[#This Row],[Amount]],OFFSET(Table2[[#This Row],[MV Balance]],-1,0))</f>
        <v/>
      </c>
      <c r="G201" s="10">
        <f>SUM(E201:F201)</f>
        <v/>
      </c>
    </row>
    <row r="202">
      <c r="A202" s="1" t="n">
        <v>45966</v>
      </c>
      <c r="B202" s="18" t="n">
        <v>-10000</v>
      </c>
      <c r="C202" t="inlineStr">
        <is>
          <t>MV</t>
        </is>
      </c>
      <c r="D202" s="3" t="inlineStr">
        <is>
          <t>TOP UP</t>
        </is>
      </c>
      <c r="E202" s="10">
        <f>IF(Table2[[#This Row],[Spender]]="YEONG",OFFSET(Table2[[#This Row],[My Actual Balance]],-1,0)-Table2[[#This Row],[Amount]],OFFSET(Table2[[#This Row],[My Actual Balance]],-1,0))</f>
        <v/>
      </c>
      <c r="F202" s="10">
        <f>IF(Table2[[#This Row],[Spender]]="MV",OFFSET(Table2[[#This Row],[MV Balance]],-1,0)-Table2[[#This Row],[Amount]],OFFSET(Table2[[#This Row],[MV Balance]],-1,0))</f>
        <v/>
      </c>
      <c r="G202" s="10">
        <f>SUM(E202:F202)</f>
        <v/>
      </c>
    </row>
    <row r="203">
      <c r="A203" s="1" t="n">
        <v>45966</v>
      </c>
      <c r="B203" s="18" t="n">
        <v>609</v>
      </c>
      <c r="C203" t="inlineStr">
        <is>
          <t>MV</t>
        </is>
      </c>
      <c r="D203" s="3" t="inlineStr">
        <is>
          <t>4858613967702098044</t>
        </is>
      </c>
      <c r="E203" s="10">
        <f>IF(Table2[[#This Row],[Spender]]="YEONG",OFFSET(Table2[[#This Row],[My Actual Balance]],-1,0)-Table2[[#This Row],[Amount]],OFFSET(Table2[[#This Row],[My Actual Balance]],-1,0))</f>
        <v/>
      </c>
      <c r="F203" s="10">
        <f>IF(Table2[[#This Row],[Spender]]="MV",OFFSET(Table2[[#This Row],[MV Balance]],-1,0)-Table2[[#This Row],[Amount]],OFFSET(Table2[[#This Row],[MV Balance]],-1,0))</f>
        <v/>
      </c>
      <c r="G203" s="10">
        <f>SUM(E203:F203)</f>
        <v/>
      </c>
    </row>
    <row r="204">
      <c r="A204" s="1" t="n">
        <v>45967</v>
      </c>
      <c r="B204" s="18" t="n">
        <v>3200</v>
      </c>
      <c r="C204" t="inlineStr">
        <is>
          <t>MV</t>
        </is>
      </c>
      <c r="D204" s="3" t="inlineStr">
        <is>
          <t>4860000866166098044</t>
        </is>
      </c>
      <c r="E204" s="10">
        <f>IF(Table2[[#This Row],[Spender]]="YEONG",OFFSET(Table2[[#This Row],[My Actual Balance]],-1,0)-Table2[[#This Row],[Amount]],OFFSET(Table2[[#This Row],[My Actual Balance]],-1,0))</f>
        <v/>
      </c>
      <c r="F204" s="10">
        <f>IF(Table2[[#This Row],[Spender]]="MV",OFFSET(Table2[[#This Row],[MV Balance]],-1,0)-Table2[[#This Row],[Amount]],OFFSET(Table2[[#This Row],[MV Balance]],-1,0))</f>
        <v/>
      </c>
      <c r="G204" s="10">
        <f>SUM(E204:F204)</f>
        <v/>
      </c>
    </row>
    <row r="205">
      <c r="A205" s="1" t="n">
        <v>45969</v>
      </c>
      <c r="B205" s="18" t="n">
        <v>1078</v>
      </c>
      <c r="C205" t="inlineStr">
        <is>
          <t>MV</t>
        </is>
      </c>
      <c r="D205" s="3" t="inlineStr">
        <is>
          <t>4861254602944544919</t>
        </is>
      </c>
      <c r="E205" s="10">
        <f>IF(Table2[[#This Row],[Spender]]="YEONG",OFFSET(Table2[[#This Row],[My Actual Balance]],-1,0)-Table2[[#This Row],[Amount]],OFFSET(Table2[[#This Row],[My Actual Balance]],-1,0))</f>
        <v/>
      </c>
      <c r="F205" s="10">
        <f>IF(Table2[[#This Row],[Spender]]="MV",OFFSET(Table2[[#This Row],[MV Balance]],-1,0)-Table2[[#This Row],[Amount]],OFFSET(Table2[[#This Row],[MV Balance]],-1,0))</f>
        <v/>
      </c>
      <c r="G205" s="10">
        <f>SUM(E205:F205)</f>
        <v/>
      </c>
    </row>
    <row r="206">
      <c r="A206" s="1" t="n">
        <v>45969</v>
      </c>
      <c r="B206" s="18" t="n">
        <v>652</v>
      </c>
      <c r="C206" t="inlineStr">
        <is>
          <t>MV</t>
        </is>
      </c>
      <c r="D206" s="3" t="inlineStr">
        <is>
          <t>4861553905946544919</t>
        </is>
      </c>
      <c r="E206" s="10">
        <f>IF(Table2[[#This Row],[Spender]]="YEONG",OFFSET(Table2[[#This Row],[My Actual Balance]],-1,0)-Table2[[#This Row],[Amount]],OFFSET(Table2[[#This Row],[My Actual Balance]],-1,0))</f>
        <v/>
      </c>
      <c r="F206" s="10">
        <f>IF(Table2[[#This Row],[Spender]]="MV",OFFSET(Table2[[#This Row],[MV Balance]],-1,0)-Table2[[#This Row],[Amount]],OFFSET(Table2[[#This Row],[MV Balance]],-1,0))</f>
        <v/>
      </c>
      <c r="G206" s="10">
        <f>SUM(E206:F206)</f>
        <v/>
      </c>
    </row>
    <row r="207">
      <c r="A207" s="1" t="n">
        <v>45970</v>
      </c>
      <c r="B207" s="18" t="n">
        <v>1000</v>
      </c>
      <c r="C207" t="inlineStr">
        <is>
          <t>MV</t>
        </is>
      </c>
      <c r="D207" s="3" t="inlineStr">
        <is>
          <t>4861555633540544919</t>
        </is>
      </c>
      <c r="E207" s="10">
        <f>IF(Table2[[#This Row],[Spender]]="YEONG",OFFSET(Table2[[#This Row],[My Actual Balance]],-1,0)-Table2[[#This Row],[Amount]],OFFSET(Table2[[#This Row],[My Actual Balance]],-1,0))</f>
        <v/>
      </c>
      <c r="F207" s="10">
        <f>IF(Table2[[#This Row],[Spender]]="MV",OFFSET(Table2[[#This Row],[MV Balance]],-1,0)-Table2[[#This Row],[Amount]],OFFSET(Table2[[#This Row],[MV Balance]],-1,0))</f>
        <v/>
      </c>
      <c r="G207" s="10">
        <f>SUM(E207:F207)</f>
        <v/>
      </c>
    </row>
    <row r="208">
      <c r="A208" s="1" t="n">
        <v>45970</v>
      </c>
      <c r="B208" s="18" t="n">
        <v>874</v>
      </c>
      <c r="C208" t="inlineStr">
        <is>
          <t>MV</t>
        </is>
      </c>
      <c r="D208" s="3" t="inlineStr">
        <is>
          <t>4861553329972544919</t>
        </is>
      </c>
      <c r="E208" s="10">
        <f>IF(Table2[[#This Row],[Spender]]="YEONG",OFFSET(Table2[[#This Row],[My Actual Balance]],-1,0)-Table2[[#This Row],[Amount]],OFFSET(Table2[[#This Row],[My Actual Balance]],-1,0))</f>
        <v/>
      </c>
      <c r="F208" s="10">
        <f>IF(Table2[[#This Row],[Spender]]="MV",OFFSET(Table2[[#This Row],[MV Balance]],-1,0)-Table2[[#This Row],[Amount]],OFFSET(Table2[[#This Row],[MV Balance]],-1,0))</f>
        <v/>
      </c>
      <c r="G208" s="10">
        <f>SUM(E208:F208)</f>
        <v/>
      </c>
    </row>
    <row r="209">
      <c r="A209" s="1" t="n">
        <v>45971</v>
      </c>
      <c r="B209" s="18" t="n">
        <v>2962</v>
      </c>
      <c r="C209" t="inlineStr">
        <is>
          <t>MV</t>
        </is>
      </c>
      <c r="D209" s="3" t="inlineStr">
        <is>
          <t>4871765304296098044</t>
        </is>
      </c>
      <c r="E209" s="10">
        <f>IF(Table2[[#This Row],[Spender]]="YEONG",OFFSET(Table2[[#This Row],[My Actual Balance]],-1,0)-Table2[[#This Row],[Amount]],OFFSET(Table2[[#This Row],[My Actual Balance]],-1,0))</f>
        <v/>
      </c>
      <c r="F209" s="10">
        <f>IF(Table2[[#This Row],[Spender]]="MV",OFFSET(Table2[[#This Row],[MV Balance]],-1,0)-Table2[[#This Row],[Amount]],OFFSET(Table2[[#This Row],[MV Balance]],-1,0))</f>
        <v/>
      </c>
      <c r="G209" s="10">
        <f>SUM(E209:F209)</f>
        <v/>
      </c>
    </row>
    <row r="210">
      <c r="A210" s="1" t="n">
        <v>45972</v>
      </c>
      <c r="B210" s="18" t="n">
        <v>-10000</v>
      </c>
      <c r="C210" t="inlineStr">
        <is>
          <t>MV</t>
        </is>
      </c>
      <c r="D210" s="3" t="inlineStr">
        <is>
          <t>Top up</t>
        </is>
      </c>
      <c r="E210" s="10">
        <f>IF(Table2[[#This Row],[Spender]]="YEONG",OFFSET(Table2[[#This Row],[My Actual Balance]],-1,0)-Table2[[#This Row],[Amount]],OFFSET(Table2[[#This Row],[My Actual Balance]],-1,0))</f>
        <v/>
      </c>
      <c r="F210" s="10">
        <f>IF(Table2[[#This Row],[Spender]]="MV",OFFSET(Table2[[#This Row],[MV Balance]],-1,0)-Table2[[#This Row],[Amount]],OFFSET(Table2[[#This Row],[MV Balance]],-1,0))</f>
        <v/>
      </c>
      <c r="G210" s="10">
        <f>SUM(E210:F210)</f>
        <v/>
      </c>
    </row>
    <row r="211">
      <c r="A211" s="1" t="n">
        <v>45974</v>
      </c>
      <c r="B211" s="18" t="n">
        <v>841.75</v>
      </c>
      <c r="C211" t="inlineStr">
        <is>
          <t>MV</t>
        </is>
      </c>
      <c r="D211" s="3" t="inlineStr">
        <is>
          <t>4878689222596544919</t>
        </is>
      </c>
      <c r="E211" s="10">
        <f>IF(Table2[[#This Row],[Spender]]="YEONG",OFFSET(Table2[[#This Row],[My Actual Balance]],-1,0)-Table2[[#This Row],[Amount]],OFFSET(Table2[[#This Row],[My Actual Balance]],-1,0))</f>
        <v/>
      </c>
      <c r="F211" s="10">
        <f>IF(Table2[[#This Row],[Spender]]="MV",OFFSET(Table2[[#This Row],[MV Balance]],-1,0)-Table2[[#This Row],[Amount]],OFFSET(Table2[[#This Row],[MV Balance]],-1,0))</f>
        <v/>
      </c>
      <c r="G211" s="10">
        <f>SUM(E211:F211)</f>
        <v/>
      </c>
    </row>
    <row r="212">
      <c r="A212" s="1" t="n">
        <v>45974</v>
      </c>
      <c r="B212" s="18" t="n">
        <v>840</v>
      </c>
      <c r="C212" t="inlineStr">
        <is>
          <t>MV</t>
        </is>
      </c>
      <c r="D212" s="3" t="inlineStr">
        <is>
          <t>4879063944684544919</t>
        </is>
      </c>
      <c r="E212" s="10">
        <f>IF(Table2[[#This Row],[Spender]]="YEONG",OFFSET(Table2[[#This Row],[My Actual Balance]],-1,0)-Table2[[#This Row],[Amount]],OFFSET(Table2[[#This Row],[My Actual Balance]],-1,0))</f>
        <v/>
      </c>
      <c r="F212" s="10">
        <f>IF(Table2[[#This Row],[Spender]]="MV",OFFSET(Table2[[#This Row],[MV Balance]],-1,0)-Table2[[#This Row],[Amount]],OFFSET(Table2[[#This Row],[MV Balance]],-1,0))</f>
        <v/>
      </c>
      <c r="G212" s="10">
        <f>SUM(E212:F212)</f>
        <v/>
      </c>
    </row>
    <row r="213">
      <c r="A213" s="1" t="n">
        <v>45975</v>
      </c>
      <c r="B213" s="18" t="n">
        <v>5040</v>
      </c>
      <c r="C213" t="inlineStr">
        <is>
          <t>MV</t>
        </is>
      </c>
      <c r="D213" s="3" t="inlineStr">
        <is>
          <t>4878676478808098044</t>
        </is>
      </c>
      <c r="E213" s="10">
        <f>IF(Table2[[#This Row],[Spender]]="YEONG",OFFSET(Table2[[#This Row],[My Actual Balance]],-1,0)-Table2[[#This Row],[Amount]],OFFSET(Table2[[#This Row],[My Actual Balance]],-1,0))</f>
        <v/>
      </c>
      <c r="F213" s="10">
        <f>IF(Table2[[#This Row],[Spender]]="MV",OFFSET(Table2[[#This Row],[MV Balance]],-1,0)-Table2[[#This Row],[Amount]],OFFSET(Table2[[#This Row],[MV Balance]],-1,0))</f>
        <v/>
      </c>
      <c r="G213" s="10">
        <f>SUM(E213:F213)</f>
        <v/>
      </c>
    </row>
    <row r="214">
      <c r="A214" s="1" t="n">
        <v>45979</v>
      </c>
      <c r="B214" s="18" t="n">
        <v>490</v>
      </c>
      <c r="C214" t="inlineStr">
        <is>
          <t>MV</t>
        </is>
      </c>
      <c r="D214" s="3" t="inlineStr">
        <is>
          <t>4878741099885544919</t>
        </is>
      </c>
      <c r="E214" s="10">
        <f>IF(Table2[[#This Row],[Spender]]="YEONG",OFFSET(Table2[[#This Row],[My Actual Balance]],-1,0)-Table2[[#This Row],[Amount]],OFFSET(Table2[[#This Row],[My Actual Balance]],-1,0))</f>
        <v/>
      </c>
      <c r="F214" s="10">
        <f>IF(Table2[[#This Row],[Spender]]="MV",OFFSET(Table2[[#This Row],[MV Balance]],-1,0)-Table2[[#This Row],[Amount]],OFFSET(Table2[[#This Row],[MV Balance]],-1,0))</f>
        <v/>
      </c>
      <c r="G214" s="10">
        <f>SUM(E214:F214)</f>
        <v/>
      </c>
    </row>
    <row r="215">
      <c r="A215" s="1" t="n">
        <v>45981</v>
      </c>
      <c r="B215" s="18" t="n">
        <v>-10000</v>
      </c>
      <c r="C215" t="inlineStr">
        <is>
          <t>MV</t>
        </is>
      </c>
      <c r="D215" s="3" t="inlineStr">
        <is>
          <t>top up</t>
        </is>
      </c>
      <c r="E215" s="10">
        <f>IF(Table2[[#This Row],[Spender]]="YEONG",OFFSET(Table2[[#This Row],[My Actual Balance]],-1,0)-Table2[[#This Row],[Amount]],OFFSET(Table2[[#This Row],[My Actual Balance]],-1,0))</f>
        <v/>
      </c>
      <c r="F215" s="10">
        <f>IF(Table2[[#This Row],[Spender]]="MV",OFFSET(Table2[[#This Row],[MV Balance]],-1,0)-Table2[[#This Row],[Amount]],OFFSET(Table2[[#This Row],[MV Balance]],-1,0))</f>
        <v/>
      </c>
      <c r="G215" s="10">
        <f>SUM(E215:F215)</f>
        <v/>
      </c>
    </row>
    <row r="216">
      <c r="A216" s="1" t="n">
        <v>45982</v>
      </c>
      <c r="B216" s="18" t="n">
        <v>1345</v>
      </c>
      <c r="C216" t="inlineStr">
        <is>
          <t>MV</t>
        </is>
      </c>
      <c r="D216" s="3" t="inlineStr">
        <is>
          <t>LFLF112110</t>
        </is>
      </c>
      <c r="E216" s="10">
        <f>IF(Table2[[#This Row],[Spender]]="YEONG",OFFSET(Table2[[#This Row],[My Actual Balance]],-1,0)-Table2[[#This Row],[Amount]],OFFSET(Table2[[#This Row],[My Actual Balance]],-1,0))</f>
        <v/>
      </c>
      <c r="F216" s="10">
        <f>IF(Table2[[#This Row],[Spender]]="MV",OFFSET(Table2[[#This Row],[MV Balance]],-1,0)-Table2[[#This Row],[Amount]],OFFSET(Table2[[#This Row],[MV Balance]],-1,0))</f>
        <v/>
      </c>
      <c r="G216" s="10">
        <f>SUM(E216:F216)</f>
        <v/>
      </c>
    </row>
    <row r="217">
      <c r="A217" s="1" t="n">
        <v>45982</v>
      </c>
      <c r="B217" s="18" t="n">
        <v>8016</v>
      </c>
      <c r="C217" t="inlineStr">
        <is>
          <t>MV</t>
        </is>
      </c>
      <c r="D217" s="3" t="inlineStr">
        <is>
          <t>4894484294597544919</t>
        </is>
      </c>
      <c r="E217" s="10">
        <f>IF(Table2[[#This Row],[Spender]]="YEONG",OFFSET(Table2[[#This Row],[My Actual Balance]],-1,0)-Table2[[#This Row],[Amount]],OFFSET(Table2[[#This Row],[My Actual Balance]],-1,0))</f>
        <v/>
      </c>
      <c r="F217" s="10">
        <f>IF(Table2[[#This Row],[Spender]]="MV",OFFSET(Table2[[#This Row],[MV Balance]],-1,0)-Table2[[#This Row],[Amount]],OFFSET(Table2[[#This Row],[MV Balance]],-1,0))</f>
        <v/>
      </c>
      <c r="G217" s="10">
        <f>SUM(E217:F217)</f>
        <v/>
      </c>
    </row>
    <row r="218">
      <c r="A218" s="1" t="n">
        <v>45983</v>
      </c>
      <c r="B218" s="18" t="n">
        <v>772</v>
      </c>
      <c r="C218" t="inlineStr">
        <is>
          <t>MV</t>
        </is>
      </c>
      <c r="D218" s="3" t="inlineStr">
        <is>
          <t>4892220180579098044</t>
        </is>
      </c>
      <c r="E218" s="10">
        <f>IF(Table2[[#This Row],[Spender]]="YEONG",OFFSET(Table2[[#This Row],[My Actual Balance]],-1,0)-Table2[[#This Row],[Amount]],OFFSET(Table2[[#This Row],[My Actual Balance]],-1,0))</f>
        <v/>
      </c>
      <c r="F218" s="10">
        <f>IF(Table2[[#This Row],[Spender]]="MV",OFFSET(Table2[[#This Row],[MV Balance]],-1,0)-Table2[[#This Row],[Amount]],OFFSET(Table2[[#This Row],[MV Balance]],-1,0))</f>
        <v/>
      </c>
      <c r="G218" s="10">
        <f>SUM(E218:F218)</f>
        <v/>
      </c>
    </row>
    <row r="219">
      <c r="A219" s="1" t="n">
        <v>45986</v>
      </c>
      <c r="B219" s="18" t="n">
        <v>3199.8</v>
      </c>
      <c r="C219" t="inlineStr">
        <is>
          <t>MV</t>
        </is>
      </c>
      <c r="D219" s="3" t="inlineStr">
        <is>
          <t>4891997664911098044</t>
        </is>
      </c>
      <c r="E219" s="10">
        <f>IF(Table2[[#This Row],[Spender]]="YEONG",OFFSET(Table2[[#This Row],[My Actual Balance]],-1,0)-Table2[[#This Row],[Amount]],OFFSET(Table2[[#This Row],[My Actual Balance]],-1,0))</f>
        <v/>
      </c>
      <c r="F219" s="10">
        <f>IF(Table2[[#This Row],[Spender]]="MV",OFFSET(Table2[[#This Row],[MV Balance]],-1,0)-Table2[[#This Row],[Amount]],OFFSET(Table2[[#This Row],[MV Balance]],-1,0))</f>
        <v/>
      </c>
      <c r="G219" s="10">
        <f>SUM(E219:F219)</f>
        <v/>
      </c>
    </row>
    <row r="220">
      <c r="A220" s="1" t="n">
        <v>45986</v>
      </c>
      <c r="B220" s="18" t="n">
        <v>-10000</v>
      </c>
      <c r="C220" t="inlineStr">
        <is>
          <t>MV</t>
        </is>
      </c>
      <c r="D220" s="3" t="inlineStr">
        <is>
          <t>top up</t>
        </is>
      </c>
      <c r="E220" s="10">
        <f>IF(Table2[[#This Row],[Spender]]="YEONG",OFFSET(Table2[[#This Row],[My Actual Balance]],-1,0)-Table2[[#This Row],[Amount]],OFFSET(Table2[[#This Row],[My Actual Balance]],-1,0))</f>
        <v/>
      </c>
      <c r="F220" s="10">
        <f>IF(Table2[[#This Row],[Spender]]="MV",OFFSET(Table2[[#This Row],[MV Balance]],-1,0)-Table2[[#This Row],[Amount]],OFFSET(Table2[[#This Row],[MV Balance]],-1,0))</f>
        <v/>
      </c>
      <c r="G220" s="10">
        <f>SUM(E220:F220)</f>
        <v/>
      </c>
    </row>
    <row r="221">
      <c r="A221" s="1" t="n">
        <v>45986</v>
      </c>
      <c r="B221" s="18" t="n">
        <v>4614.46</v>
      </c>
      <c r="C221" t="inlineStr">
        <is>
          <t>MV</t>
        </is>
      </c>
      <c r="D221" s="3" t="inlineStr">
        <is>
          <t>4904230755804544919</t>
        </is>
      </c>
      <c r="E221" s="10">
        <f>IF(Table2[[#This Row],[Spender]]="YEONG",OFFSET(Table2[[#This Row],[My Actual Balance]],-1,0)-Table2[[#This Row],[Amount]],OFFSET(Table2[[#This Row],[My Actual Balance]],-1,0))</f>
        <v/>
      </c>
      <c r="F221" s="10">
        <f>IF(Table2[[#This Row],[Spender]]="MV",OFFSET(Table2[[#This Row],[MV Balance]],-1,0)-Table2[[#This Row],[Amount]],OFFSET(Table2[[#This Row],[MV Balance]],-1,0))</f>
        <v/>
      </c>
      <c r="G221" s="10">
        <f>SUM(E221:F221)</f>
        <v/>
      </c>
    </row>
    <row r="222">
      <c r="A222" s="1" t="n">
        <v>45987</v>
      </c>
      <c r="B222" s="18" t="n">
        <v>3800</v>
      </c>
      <c r="C222" t="inlineStr">
        <is>
          <t>MV</t>
        </is>
      </c>
      <c r="D222" s="3" t="inlineStr">
        <is>
          <t>4902490800894098044</t>
        </is>
      </c>
      <c r="E222" s="10">
        <f>IF(Table2[[#This Row],[Spender]]="YEONG",OFFSET(Table2[[#This Row],[My Actual Balance]],-1,0)-Table2[[#This Row],[Amount]],OFFSET(Table2[[#This Row],[My Actual Balance]],-1,0))</f>
        <v/>
      </c>
      <c r="F222" s="10">
        <f>IF(Table2[[#This Row],[Spender]]="MV",OFFSET(Table2[[#This Row],[MV Balance]],-1,0)-Table2[[#This Row],[Amount]],OFFSET(Table2[[#This Row],[MV Balance]],-1,0))</f>
        <v/>
      </c>
      <c r="G222" s="10">
        <f>SUM(E222:F222)</f>
        <v/>
      </c>
    </row>
    <row r="223">
      <c r="A223" s="1" t="n">
        <v>45988</v>
      </c>
      <c r="B223" s="18" t="n">
        <v>75</v>
      </c>
      <c r="C223" t="inlineStr">
        <is>
          <t>MV</t>
        </is>
      </c>
      <c r="D223" s="3" t="inlineStr">
        <is>
          <t>4908145070947544919</t>
        </is>
      </c>
      <c r="E223" s="10">
        <f>IF(Table2[[#This Row],[Spender]]="YEONG",OFFSET(Table2[[#This Row],[My Actual Balance]],-1,0)-Table2[[#This Row],[Amount]],OFFSET(Table2[[#This Row],[My Actual Balance]],-1,0))</f>
        <v/>
      </c>
      <c r="F223" s="10">
        <f>IF(Table2[[#This Row],[Spender]]="MV",OFFSET(Table2[[#This Row],[MV Balance]],-1,0)-Table2[[#This Row],[Amount]],OFFSET(Table2[[#This Row],[MV Balance]],-1,0))</f>
        <v/>
      </c>
      <c r="G223" s="10">
        <f>SUM(E223:F223)</f>
        <v/>
      </c>
    </row>
    <row r="224">
      <c r="A224" s="1" t="n">
        <v>45988</v>
      </c>
      <c r="B224" s="18" t="n">
        <v>379</v>
      </c>
      <c r="C224" t="inlineStr">
        <is>
          <t>MV</t>
        </is>
      </c>
      <c r="D224" s="3" t="inlineStr">
        <is>
          <t>4905012493047544919</t>
        </is>
      </c>
      <c r="E224" s="10">
        <f>IF(Table2[[#This Row],[Spender]]="YEONG",OFFSET(Table2[[#This Row],[My Actual Balance]],-1,0)-Table2[[#This Row],[Amount]],OFFSET(Table2[[#This Row],[My Actual Balance]],-1,0))</f>
        <v/>
      </c>
      <c r="F224" s="10">
        <f>IF(Table2[[#This Row],[Spender]]="MV",OFFSET(Table2[[#This Row],[MV Balance]],-1,0)-Table2[[#This Row],[Amount]],OFFSET(Table2[[#This Row],[MV Balance]],-1,0))</f>
        <v/>
      </c>
      <c r="G224" s="10">
        <f>SUM(E224:F224)</f>
        <v/>
      </c>
    </row>
    <row r="225">
      <c r="A225" s="1" t="n">
        <v>45988</v>
      </c>
      <c r="B225" s="18" t="n">
        <v>815</v>
      </c>
      <c r="C225" t="inlineStr">
        <is>
          <t>MV</t>
        </is>
      </c>
      <c r="D225" s="3" t="inlineStr">
        <is>
          <t>4905011845149544919</t>
        </is>
      </c>
      <c r="E225" s="10">
        <f>IF(Table2[[#This Row],[Spender]]="YEONG",OFFSET(Table2[[#This Row],[My Actual Balance]],-1,0)-Table2[[#This Row],[Amount]],OFFSET(Table2[[#This Row],[My Actual Balance]],-1,0))</f>
        <v/>
      </c>
      <c r="F225" s="10">
        <f>IF(Table2[[#This Row],[Spender]]="MV",OFFSET(Table2[[#This Row],[MV Balance]],-1,0)-Table2[[#This Row],[Amount]],OFFSET(Table2[[#This Row],[MV Balance]],-1,0))</f>
        <v/>
      </c>
      <c r="G225" s="10">
        <f>SUM(E225:F225)</f>
        <v/>
      </c>
    </row>
    <row r="226">
      <c r="A226" s="1" t="n">
        <v>45992</v>
      </c>
      <c r="B226" s="18" t="n">
        <v>-10000</v>
      </c>
      <c r="C226" t="inlineStr">
        <is>
          <t>MV</t>
        </is>
      </c>
      <c r="D226" s="3" t="inlineStr">
        <is>
          <t>top up</t>
        </is>
      </c>
      <c r="E226" s="10">
        <f>IF(Table2[[#This Row],[Spender]]="YEONG",OFFSET(Table2[[#This Row],[My Actual Balance]],-1,0)-Table2[[#This Row],[Amount]],OFFSET(Table2[[#This Row],[My Actual Balance]],-1,0))</f>
        <v/>
      </c>
      <c r="F226" s="10">
        <f>IF(Table2[[#This Row],[Spender]]="MV",OFFSET(Table2[[#This Row],[MV Balance]],-1,0)-Table2[[#This Row],[Amount]],OFFSET(Table2[[#This Row],[MV Balance]],-1,0))</f>
        <v/>
      </c>
      <c r="G226" s="10">
        <f>SUM(E226:F226)</f>
        <v/>
      </c>
    </row>
    <row r="227">
      <c r="A227" s="1" t="n">
        <v>45993</v>
      </c>
      <c r="B227" s="18" t="n">
        <v>600</v>
      </c>
      <c r="C227" t="inlineStr">
        <is>
          <t>MV</t>
        </is>
      </c>
      <c r="D227" s="3" t="inlineStr">
        <is>
          <t>4917169550019544919</t>
        </is>
      </c>
      <c r="E227" s="10">
        <f>IF(Table2[[#This Row],[Spender]]="YEONG",OFFSET(Table2[[#This Row],[My Actual Balance]],-1,0)-Table2[[#This Row],[Amount]],OFFSET(Table2[[#This Row],[My Actual Balance]],-1,0))</f>
        <v/>
      </c>
      <c r="F227" s="10">
        <f>IF(Table2[[#This Row],[Spender]]="MV",OFFSET(Table2[[#This Row],[MV Balance]],-1,0)-Table2[[#This Row],[Amount]],OFFSET(Table2[[#This Row],[MV Balance]],-1,0))</f>
        <v/>
      </c>
      <c r="G227" s="10">
        <f>SUM(E227:F227)</f>
        <v/>
      </c>
    </row>
    <row r="228">
      <c r="A228" s="1" t="n">
        <v>45993</v>
      </c>
      <c r="B228" s="18" t="n">
        <v>610</v>
      </c>
      <c r="C228" t="inlineStr">
        <is>
          <t>MV</t>
        </is>
      </c>
      <c r="D228" s="3" t="inlineStr">
        <is>
          <t>4917530808849544919</t>
        </is>
      </c>
      <c r="E228" s="10">
        <f>IF(Table2[[#This Row],[Spender]]="YEONG",OFFSET(Table2[[#This Row],[My Actual Balance]],-1,0)-Table2[[#This Row],[Amount]],OFFSET(Table2[[#This Row],[My Actual Balance]],-1,0))</f>
        <v/>
      </c>
      <c r="F228" s="10">
        <f>IF(Table2[[#This Row],[Spender]]="MV",OFFSET(Table2[[#This Row],[MV Balance]],-1,0)-Table2[[#This Row],[Amount]],OFFSET(Table2[[#This Row],[MV Balance]],-1,0))</f>
        <v/>
      </c>
      <c r="G228" s="10">
        <f>SUM(E228:F228)</f>
        <v/>
      </c>
    </row>
    <row r="229">
      <c r="A229" s="1" t="n">
        <v>45993</v>
      </c>
      <c r="B229" s="18" t="n">
        <v>3200</v>
      </c>
      <c r="C229" t="inlineStr">
        <is>
          <t>MV</t>
        </is>
      </c>
      <c r="D229" s="3" t="inlineStr">
        <is>
          <t>4918802040718098044</t>
        </is>
      </c>
      <c r="E229" s="10">
        <f>IF(Table2[[#This Row],[Spender]]="YEONG",OFFSET(Table2[[#This Row],[My Actual Balance]],-1,0)-Table2[[#This Row],[Amount]],OFFSET(Table2[[#This Row],[My Actual Balance]],-1,0))</f>
        <v/>
      </c>
      <c r="F229" s="10">
        <f>IF(Table2[[#This Row],[Spender]]="MV",OFFSET(Table2[[#This Row],[MV Balance]],-1,0)-Table2[[#This Row],[Amount]],OFFSET(Table2[[#This Row],[MV Balance]],-1,0))</f>
        <v/>
      </c>
      <c r="G229" s="10">
        <f>SUM(E229:F229)</f>
        <v/>
      </c>
    </row>
    <row r="230">
      <c r="A230" s="1" t="n">
        <v>45995</v>
      </c>
      <c r="B230" s="18" t="n">
        <v>5060</v>
      </c>
      <c r="C230" t="inlineStr">
        <is>
          <t>MV</t>
        </is>
      </c>
      <c r="D230" s="3" t="inlineStr">
        <is>
          <t>4918500831388098044</t>
        </is>
      </c>
      <c r="E230" s="10">
        <f>IF(Table2[[#This Row],[Spender]]="YEONG",OFFSET(Table2[[#This Row],[My Actual Balance]],-1,0)-Table2[[#This Row],[Amount]],OFFSET(Table2[[#This Row],[My Actual Balance]],-1,0))</f>
        <v/>
      </c>
      <c r="F230" s="10">
        <f>IF(Table2[[#This Row],[Spender]]="MV",OFFSET(Table2[[#This Row],[MV Balance]],-1,0)-Table2[[#This Row],[Amount]],OFFSET(Table2[[#This Row],[MV Balance]],-1,0))</f>
        <v/>
      </c>
      <c r="G230" s="10">
        <f>SUM(E230:F230)</f>
        <v/>
      </c>
    </row>
    <row r="231">
      <c r="A231" s="1" t="n">
        <v>45996</v>
      </c>
      <c r="B231" s="18" t="n">
        <v>-744</v>
      </c>
      <c r="C231" t="inlineStr">
        <is>
          <t>MV</t>
        </is>
      </c>
      <c r="D231" s="3" t="inlineStr">
        <is>
          <t>Refund from order 4861553329972544919</t>
        </is>
      </c>
      <c r="E231" s="10">
        <f>IF(Table2[[#This Row],[Spender]]="YEONG",OFFSET(Table2[[#This Row],[My Actual Balance]],-1,0)-Table2[[#This Row],[Amount]],OFFSET(Table2[[#This Row],[My Actual Balance]],-1,0))</f>
        <v/>
      </c>
      <c r="F231" s="10">
        <f>IF(Table2[[#This Row],[Spender]]="MV",OFFSET(Table2[[#This Row],[MV Balance]],-1,0)-Table2[[#This Row],[Amount]],OFFSET(Table2[[#This Row],[MV Balance]],-1,0))</f>
        <v/>
      </c>
      <c r="G231" s="10">
        <f>SUM(E231:F231)</f>
        <v/>
      </c>
    </row>
    <row r="232">
      <c r="A232" s="1" t="n">
        <v>45999</v>
      </c>
      <c r="B232" s="18" t="n">
        <v>-10000</v>
      </c>
      <c r="C232" t="inlineStr">
        <is>
          <t>MV</t>
        </is>
      </c>
      <c r="D232" s="3" t="inlineStr">
        <is>
          <t>top up</t>
        </is>
      </c>
      <c r="E232" s="10">
        <f>IF(Table2[[#This Row],[Spender]]="YEONG",OFFSET(Table2[[#This Row],[My Actual Balance]],-1,0)-Table2[[#This Row],[Amount]],OFFSET(Table2[[#This Row],[My Actual Balance]],-1,0))</f>
        <v/>
      </c>
      <c r="F232" s="10">
        <f>IF(Table2[[#This Row],[Spender]]="MV",OFFSET(Table2[[#This Row],[MV Balance]],-1,0)-Table2[[#This Row],[Amount]],OFFSET(Table2[[#This Row],[MV Balance]],-1,0))</f>
        <v/>
      </c>
      <c r="G232" s="10">
        <f>SUM(E232:F232)</f>
        <v/>
      </c>
    </row>
    <row r="233">
      <c r="A233" s="1" t="n">
        <v>45999</v>
      </c>
      <c r="B233" s="18" t="n">
        <v>19.6</v>
      </c>
      <c r="C233" t="inlineStr">
        <is>
          <t>YEONG</t>
        </is>
      </c>
      <c r="D233" s="3" t="inlineStr">
        <is>
          <t>food</t>
        </is>
      </c>
      <c r="E233" s="10">
        <f>IF(Table2[[#This Row],[Spender]]="YEONG",OFFSET(Table2[[#This Row],[My Actual Balance]],-1,0)-Table2[[#This Row],[Amount]],OFFSET(Table2[[#This Row],[My Actual Balance]],-1,0))</f>
        <v/>
      </c>
      <c r="F233" s="10">
        <f>IF(Table2[[#This Row],[Spender]]="MV",OFFSET(Table2[[#This Row],[MV Balance]],-1,0)-Table2[[#This Row],[Amount]],OFFSET(Table2[[#This Row],[MV Balance]],-1,0))</f>
        <v/>
      </c>
      <c r="G233" s="10">
        <f>SUM(E233:F233)</f>
        <v/>
      </c>
    </row>
    <row r="234">
      <c r="A234" s="1" t="n">
        <v>46002</v>
      </c>
      <c r="B234" s="18" t="n">
        <v>4800</v>
      </c>
      <c r="C234" t="inlineStr">
        <is>
          <t>MV</t>
        </is>
      </c>
      <c r="D234" s="3" t="inlineStr">
        <is>
          <t>4935494739469098044</t>
        </is>
      </c>
      <c r="E234" s="10">
        <f>IF(Table2[[#This Row],[Spender]]="YEONG",OFFSET(Table2[[#This Row],[My Actual Balance]],-1,0)-Table2[[#This Row],[Amount]],OFFSET(Table2[[#This Row],[My Actual Balance]],-1,0))</f>
        <v/>
      </c>
      <c r="F234" s="10">
        <f>IF(Table2[[#This Row],[Spender]]="MV",OFFSET(Table2[[#This Row],[MV Balance]],-1,0)-Table2[[#This Row],[Amount]],OFFSET(Table2[[#This Row],[MV Balance]],-1,0))</f>
        <v/>
      </c>
      <c r="G234" s="10">
        <f>SUM(E234:F234)</f>
        <v/>
      </c>
    </row>
    <row r="235">
      <c r="A235" s="1" t="n">
        <v>46002</v>
      </c>
      <c r="B235" s="18" t="n">
        <v>4900</v>
      </c>
      <c r="C235" t="inlineStr">
        <is>
          <t>MV</t>
        </is>
      </c>
      <c r="D235" s="3" t="inlineStr">
        <is>
          <t>4935890448289544919</t>
        </is>
      </c>
      <c r="E235" s="10">
        <f>IF(Table2[[#This Row],[Spender]]="YEONG",OFFSET(Table2[[#This Row],[My Actual Balance]],-1,0)-Table2[[#This Row],[Amount]],OFFSET(Table2[[#This Row],[My Actual Balance]],-1,0))</f>
        <v/>
      </c>
      <c r="F235" s="10">
        <f>IF(Table2[[#This Row],[Spender]]="MV",OFFSET(Table2[[#This Row],[MV Balance]],-1,0)-Table2[[#This Row],[Amount]],OFFSET(Table2[[#This Row],[MV Balance]],-1,0))</f>
        <v/>
      </c>
      <c r="G235" s="10">
        <f>SUM(E235:F235)</f>
        <v/>
      </c>
    </row>
    <row r="236">
      <c r="A236" s="1" t="n">
        <v>46003</v>
      </c>
      <c r="B236" s="18" t="n">
        <v>690.25</v>
      </c>
      <c r="C236" t="inlineStr">
        <is>
          <t>MV</t>
        </is>
      </c>
      <c r="D236" s="3" t="inlineStr">
        <is>
          <t>4939193450472544919</t>
        </is>
      </c>
      <c r="E236" s="10">
        <f>IF(Table2[[#This Row],[Spender]]="YEONG",OFFSET(Table2[[#This Row],[My Actual Balance]],-1,0)-Table2[[#This Row],[Amount]],OFFSET(Table2[[#This Row],[My Actual Balance]],-1,0))</f>
        <v/>
      </c>
      <c r="F236" s="10">
        <f>IF(Table2[[#This Row],[Spender]]="MV",OFFSET(Table2[[#This Row],[MV Balance]],-1,0)-Table2[[#This Row],[Amount]],OFFSET(Table2[[#This Row],[MV Balance]],-1,0))</f>
        <v/>
      </c>
      <c r="G236" s="10">
        <f>SUM(E236:F236)</f>
        <v/>
      </c>
    </row>
    <row r="237">
      <c r="A237" s="1" t="n">
        <v>46008</v>
      </c>
      <c r="B237" s="18" t="n">
        <v>4042</v>
      </c>
      <c r="C237" t="inlineStr">
        <is>
          <t>MV</t>
        </is>
      </c>
      <c r="D237" s="3" t="inlineStr">
        <is>
          <t>4936547556133544919</t>
        </is>
      </c>
      <c r="E237" s="10">
        <f>IF(Table2[[#This Row],[Spender]]="YEONG",OFFSET(Table2[[#This Row],[My Actual Balance]],-1,0)-Table2[[#This Row],[Amount]],OFFSET(Table2[[#This Row],[My Actual Balance]],-1,0))</f>
        <v/>
      </c>
      <c r="F237" s="10">
        <f>IF(Table2[[#This Row],[Spender]]="MV",OFFSET(Table2[[#This Row],[MV Balance]],-1,0)-Table2[[#This Row],[Amount]],OFFSET(Table2[[#This Row],[MV Balance]],-1,0))</f>
        <v/>
      </c>
      <c r="G237" s="10">
        <f>SUM(E237:F237)</f>
        <v/>
      </c>
    </row>
    <row r="238">
      <c r="A238" s="1" t="n">
        <v>46003</v>
      </c>
      <c r="B238" s="18" t="n">
        <v>-10000</v>
      </c>
      <c r="C238" t="inlineStr">
        <is>
          <t>MV</t>
        </is>
      </c>
      <c r="D238" s="3" t="inlineStr">
        <is>
          <t>top up</t>
        </is>
      </c>
      <c r="E238" s="10">
        <f>IF(Table2[[#This Row],[Spender]]="YEONG",OFFSET(Table2[[#This Row],[My Actual Balance]],-1,0)-Table2[[#This Row],[Amount]],OFFSET(Table2[[#This Row],[My Actual Balance]],-1,0))</f>
        <v/>
      </c>
      <c r="F238" s="10">
        <f>IF(Table2[[#This Row],[Spender]]="MV",OFFSET(Table2[[#This Row],[MV Balance]],-1,0)-Table2[[#This Row],[Amount]],OFFSET(Table2[[#This Row],[MV Balance]],-1,0))</f>
        <v/>
      </c>
      <c r="G238" s="10">
        <f>SUM(E238:F238)</f>
        <v/>
      </c>
    </row>
    <row r="239">
      <c r="A239" s="1" t="n">
        <v>46003</v>
      </c>
      <c r="B239" s="18" t="n">
        <v>-0.97</v>
      </c>
      <c r="C239" t="inlineStr">
        <is>
          <t>YEONG</t>
        </is>
      </c>
      <c r="D239" s="3" t="inlineStr">
        <is>
          <t>interest gain</t>
        </is>
      </c>
      <c r="E239" s="10">
        <f>IF(Table2[[#This Row],[Spender]]="YEONG",OFFSET(Table2[[#This Row],[My Actual Balance]],-1,0)-Table2[[#This Row],[Amount]],OFFSET(Table2[[#This Row],[My Actual Balance]],-1,0))</f>
        <v/>
      </c>
      <c r="F239" s="10">
        <f>IF(Table2[[#This Row],[Spender]]="MV",OFFSET(Table2[[#This Row],[MV Balance]],-1,0)-Table2[[#This Row],[Amount]],OFFSET(Table2[[#This Row],[MV Balance]],-1,0))</f>
        <v/>
      </c>
      <c r="G239" s="10">
        <f>SUM(E239:F239)</f>
        <v/>
      </c>
    </row>
    <row r="240">
      <c r="A240" s="1" t="n">
        <v>46012</v>
      </c>
      <c r="B240" s="18" t="n">
        <v>121.5</v>
      </c>
      <c r="C240" t="inlineStr">
        <is>
          <t>YEONG</t>
        </is>
      </c>
      <c r="D240" s="3" t="inlineStr">
        <is>
          <t>Check up</t>
        </is>
      </c>
      <c r="E240" s="10">
        <f>IF(Table2[[#This Row],[Spender]]="YEONG",OFFSET(Table2[[#This Row],[My Actual Balance]],-1,0)-Table2[[#This Row],[Amount]],OFFSET(Table2[[#This Row],[My Actual Balance]],-1,0))</f>
        <v/>
      </c>
      <c r="F240" s="10">
        <f>IF(Table2[[#This Row],[Spender]]="MV",OFFSET(Table2[[#This Row],[MV Balance]],-1,0)-Table2[[#This Row],[Amount]],OFFSET(Table2[[#This Row],[MV Balance]],-1,0))</f>
        <v/>
      </c>
      <c r="G240" s="10">
        <f>SUM(E240:F240)</f>
        <v/>
      </c>
    </row>
    <row r="241">
      <c r="A241" s="1" t="n">
        <v>46012</v>
      </c>
      <c r="B241" s="18" t="n">
        <v>30.08</v>
      </c>
      <c r="C241" t="inlineStr">
        <is>
          <t>YEONG</t>
        </is>
      </c>
      <c r="D241" s="3" t="inlineStr">
        <is>
          <t>food</t>
        </is>
      </c>
      <c r="E241" s="10">
        <f>IF(Table2[[#This Row],[Spender]]="YEONG",OFFSET(Table2[[#This Row],[My Actual Balance]],-1,0)-Table2[[#This Row],[Amount]],OFFSET(Table2[[#This Row],[My Actual Balance]],-1,0))</f>
        <v/>
      </c>
      <c r="F241" s="10">
        <f>IF(Table2[[#This Row],[Spender]]="MV",OFFSET(Table2[[#This Row],[MV Balance]],-1,0)-Table2[[#This Row],[Amount]],OFFSET(Table2[[#This Row],[MV Balance]],-1,0))</f>
        <v/>
      </c>
      <c r="G241" s="10">
        <f>SUM(E241:F241)</f>
        <v/>
      </c>
    </row>
    <row r="242">
      <c r="A242" s="1" t="n">
        <v>46012</v>
      </c>
      <c r="B242" s="18" t="n">
        <v>41.47</v>
      </c>
      <c r="C242" t="inlineStr">
        <is>
          <t>YEONG</t>
        </is>
      </c>
      <c r="D242" s="3" t="inlineStr">
        <is>
          <t>food</t>
        </is>
      </c>
      <c r="E242" s="10">
        <f>IF(Table2[[#This Row],[Spender]]="YEONG",OFFSET(Table2[[#This Row],[My Actual Balance]],-1,0)-Table2[[#This Row],[Amount]],OFFSET(Table2[[#This Row],[My Actual Balance]],-1,0))</f>
        <v/>
      </c>
      <c r="F242" s="10">
        <f>IF(Table2[[#This Row],[Spender]]="MV",OFFSET(Table2[[#This Row],[MV Balance]],-1,0)-Table2[[#This Row],[Amount]],OFFSET(Table2[[#This Row],[MV Balance]],-1,0))</f>
        <v/>
      </c>
      <c r="G242" s="10">
        <f>SUM(E242:F242)</f>
        <v/>
      </c>
    </row>
    <row r="243">
      <c r="A243" s="1" t="n">
        <v>46012</v>
      </c>
      <c r="B243" s="18" t="n">
        <v>23.2</v>
      </c>
      <c r="C243" t="inlineStr">
        <is>
          <t>YEONG</t>
        </is>
      </c>
      <c r="D243" s="3" t="inlineStr">
        <is>
          <t>food</t>
        </is>
      </c>
      <c r="E243" s="10">
        <f>IF(Table2[[#This Row],[Spender]]="YEONG",OFFSET(Table2[[#This Row],[My Actual Balance]],-1,0)-Table2[[#This Row],[Amount]],OFFSET(Table2[[#This Row],[My Actual Balance]],-1,0))</f>
        <v/>
      </c>
      <c r="F243" s="10">
        <f>IF(Table2[[#This Row],[Spender]]="MV",OFFSET(Table2[[#This Row],[MV Balance]],-1,0)-Table2[[#This Row],[Amount]],OFFSET(Table2[[#This Row],[MV Balance]],-1,0))</f>
        <v/>
      </c>
      <c r="G243" s="10">
        <f>SUM(E243:F243)</f>
        <v/>
      </c>
    </row>
    <row r="244">
      <c r="A244" s="1" t="n">
        <v>46013</v>
      </c>
      <c r="B244" s="18" t="n">
        <v>39.82</v>
      </c>
      <c r="C244" t="inlineStr">
        <is>
          <t>YEONG</t>
        </is>
      </c>
      <c r="D244" s="3" t="inlineStr">
        <is>
          <t>food</t>
        </is>
      </c>
      <c r="E244" s="10">
        <f>IF(Table2[[#This Row],[Spender]]="YEONG",OFFSET(Table2[[#This Row],[My Actual Balance]],-1,0)-Table2[[#This Row],[Amount]],OFFSET(Table2[[#This Row],[My Actual Balance]],-1,0))</f>
        <v/>
      </c>
      <c r="F244" s="10">
        <f>IF(Table2[[#This Row],[Spender]]="MV",OFFSET(Table2[[#This Row],[MV Balance]],-1,0)-Table2[[#This Row],[Amount]],OFFSET(Table2[[#This Row],[MV Balance]],-1,0))</f>
        <v/>
      </c>
      <c r="G244" s="10">
        <f>SUM(E244:F244)</f>
        <v/>
      </c>
    </row>
    <row r="245">
      <c r="A245" s="1" t="n">
        <v>46013</v>
      </c>
      <c r="B245" s="18" t="n">
        <v>0.1</v>
      </c>
      <c r="C245" t="inlineStr">
        <is>
          <t>MV</t>
        </is>
      </c>
      <c r="D245" s="3" t="inlineStr">
        <is>
          <t>MISC</t>
        </is>
      </c>
      <c r="E245" s="10">
        <f>IF(Table2[[#This Row],[Spender]]="YEONG",OFFSET(Table2[[#This Row],[My Actual Balance]],-1,0)-Table2[[#This Row],[Amount]],OFFSET(Table2[[#This Row],[My Actual Balance]],-1,0))</f>
        <v/>
      </c>
      <c r="F245" s="10">
        <f>IF(Table2[[#This Row],[Spender]]="MV",OFFSET(Table2[[#This Row],[MV Balance]],-1,0)-Table2[[#This Row],[Amount]],OFFSET(Table2[[#This Row],[MV Balance]],-1,0))</f>
        <v/>
      </c>
      <c r="G245" s="10">
        <f>SUM(E245:F245)</f>
        <v/>
      </c>
    </row>
    <row r="246">
      <c r="A246" s="1" t="n">
        <v>46013</v>
      </c>
      <c r="B246" s="18" t="n">
        <v>-0.1</v>
      </c>
      <c r="C246" t="inlineStr">
        <is>
          <t>YEONG</t>
        </is>
      </c>
      <c r="D246" s="3" t="inlineStr">
        <is>
          <t>MISC</t>
        </is>
      </c>
      <c r="E246" s="10">
        <f>IF(Table2[[#This Row],[Spender]]="YEONG",OFFSET(Table2[[#This Row],[My Actual Balance]],-1,0)-Table2[[#This Row],[Amount]],OFFSET(Table2[[#This Row],[My Actual Balance]],-1,0))</f>
        <v/>
      </c>
      <c r="F246" s="10">
        <f>IF(Table2[[#This Row],[Spender]]="MV",OFFSET(Table2[[#This Row],[MV Balance]],-1,0)-Table2[[#This Row],[Amount]],OFFSET(Table2[[#This Row],[MV Balance]],-1,0))</f>
        <v/>
      </c>
      <c r="G246" s="10">
        <f>SUM(E246:F246)</f>
        <v/>
      </c>
    </row>
    <row r="247">
      <c r="A247" s="1" t="n">
        <v>46013</v>
      </c>
      <c r="B247" s="18" t="n">
        <v>34.07</v>
      </c>
      <c r="C247" t="inlineStr">
        <is>
          <t>MV</t>
        </is>
      </c>
      <c r="D247" s="3" t="inlineStr">
        <is>
          <t>4961560142268544919</t>
        </is>
      </c>
      <c r="E247" s="10">
        <f>IF(Table2[[#This Row],[Spender]]="YEONG",OFFSET(Table2[[#This Row],[My Actual Balance]],-1,0)-Table2[[#This Row],[Amount]],OFFSET(Table2[[#This Row],[My Actual Balance]],-1,0))</f>
        <v/>
      </c>
      <c r="F247" s="10">
        <f>IF(Table2[[#This Row],[Spender]]="MV",OFFSET(Table2[[#This Row],[MV Balance]],-1,0)-Table2[[#This Row],[Amount]],OFFSET(Table2[[#This Row],[MV Balance]],-1,0))</f>
        <v/>
      </c>
      <c r="G247" s="10">
        <f>SUM(E247:F247)</f>
        <v/>
      </c>
    </row>
    <row r="248">
      <c r="A248" s="1" t="n">
        <v>46013</v>
      </c>
      <c r="B248" s="18" t="n">
        <v>27</v>
      </c>
      <c r="C248" t="inlineStr">
        <is>
          <t>YEONG</t>
        </is>
      </c>
      <c r="D248" s="3" t="inlineStr">
        <is>
          <t>Uniqlo socks</t>
        </is>
      </c>
      <c r="E248" s="10">
        <f>IF(Table2[[#This Row],[Spender]]="YEONG",OFFSET(Table2[[#This Row],[My Actual Balance]],-1,0)-Table2[[#This Row],[Amount]],OFFSET(Table2[[#This Row],[My Actual Balance]],-1,0))</f>
        <v/>
      </c>
      <c r="F248" s="10">
        <f>IF(Table2[[#This Row],[Spender]]="MV",OFFSET(Table2[[#This Row],[MV Balance]],-1,0)-Table2[[#This Row],[Amount]],OFFSET(Table2[[#This Row],[MV Balance]],-1,0))</f>
        <v/>
      </c>
      <c r="G248" s="10">
        <f>SUM(E248:F248)</f>
        <v/>
      </c>
    </row>
    <row r="249">
      <c r="A249" s="1" t="n">
        <v>46013</v>
      </c>
      <c r="B249" s="18" t="n">
        <v>29.9</v>
      </c>
      <c r="C249" t="inlineStr">
        <is>
          <t>YEONG</t>
        </is>
      </c>
      <c r="D249" s="3" t="inlineStr">
        <is>
          <t>Micun banfan</t>
        </is>
      </c>
      <c r="E249" s="10">
        <f>IF(Table2[[#This Row],[Spender]]="YEONG",OFFSET(Table2[[#This Row],[My Actual Balance]],-1,0)-Table2[[#This Row],[Amount]],OFFSET(Table2[[#This Row],[My Actual Balance]],-1,0))</f>
        <v/>
      </c>
      <c r="F249" s="10">
        <f>IF(Table2[[#This Row],[Spender]]="MV",OFFSET(Table2[[#This Row],[MV Balance]],-1,0)-Table2[[#This Row],[Amount]],OFFSET(Table2[[#This Row],[MV Balance]],-1,0))</f>
        <v/>
      </c>
      <c r="G249" s="10">
        <f>SUM(E249:F249)</f>
        <v/>
      </c>
    </row>
    <row r="250">
      <c r="A250" s="1" t="n">
        <v>46013</v>
      </c>
      <c r="B250" s="18" t="n">
        <v>21</v>
      </c>
      <c r="C250" t="inlineStr">
        <is>
          <t>YEONG</t>
        </is>
      </c>
      <c r="D250" s="3" t="inlineStr">
        <is>
          <t>DIDI CAR</t>
        </is>
      </c>
      <c r="E250" s="10">
        <f>IF(Table2[[#This Row],[Spender]]="YEONG",OFFSET(Table2[[#This Row],[My Actual Balance]],-1,0)-Table2[[#This Row],[Amount]],OFFSET(Table2[[#This Row],[My Actual Balance]],-1,0))</f>
        <v/>
      </c>
      <c r="F250" s="10">
        <f>IF(Table2[[#This Row],[Spender]]="MV",OFFSET(Table2[[#This Row],[MV Balance]],-1,0)-Table2[[#This Row],[Amount]],OFFSET(Table2[[#This Row],[MV Balance]],-1,0))</f>
        <v/>
      </c>
      <c r="G250" s="10">
        <f>SUM(E250:F250)</f>
        <v/>
      </c>
    </row>
    <row r="251">
      <c r="A251" s="1" t="n">
        <v>46014</v>
      </c>
      <c r="B251" s="18" t="n">
        <v>29.4</v>
      </c>
      <c r="C251" t="inlineStr">
        <is>
          <t>YEONG</t>
        </is>
      </c>
      <c r="D251" s="3" t="inlineStr">
        <is>
          <t>Food</t>
        </is>
      </c>
      <c r="E251" s="19">
        <f>IF(Table2[[#This Row],[Spender]]="YEONG",OFFSET(Table2[[#This Row],[My Actual Balance]],-1,0)-Table2[[#This Row],[Amount]],OFFSET(Table2[[#This Row],[My Actual Balance]],-1,0))</f>
        <v/>
      </c>
      <c r="F251" s="19">
        <f>IF(Table2[[#This Row],[Spender]]="MV",OFFSET(Table2[[#This Row],[MV Balance]],-1,0)-Table2[[#This Row],[Amount]],OFFSET(Table2[[#This Row],[MV Balance]],-1,0))</f>
        <v/>
      </c>
      <c r="G251" s="19">
        <f>SUM(E251:F251)</f>
        <v/>
      </c>
    </row>
    <row r="252">
      <c r="A252" s="1" t="n">
        <v>46014</v>
      </c>
      <c r="B252" s="18" t="n">
        <v>35</v>
      </c>
      <c r="C252" t="inlineStr">
        <is>
          <t>YEONG</t>
        </is>
      </c>
      <c r="D252" s="3" t="inlineStr">
        <is>
          <t>Hefu lao mian</t>
        </is>
      </c>
      <c r="E252" s="19">
        <f>IF(Table2[[#This Row],[Spender]]="YEONG",OFFSET(Table2[[#This Row],[My Actual Balance]],-1,0)-Table2[[#This Row],[Amount]],OFFSET(Table2[[#This Row],[My Actual Balance]],-1,0))</f>
        <v/>
      </c>
      <c r="F252" s="19">
        <f>IF(Table2[[#This Row],[Spender]]="MV",OFFSET(Table2[[#This Row],[MV Balance]],-1,0)-Table2[[#This Row],[Amount]],OFFSET(Table2[[#This Row],[MV Balance]],-1,0))</f>
        <v/>
      </c>
      <c r="G252" s="19">
        <f>SUM(E252:F252)</f>
        <v/>
      </c>
    </row>
    <row r="253">
      <c r="A253" s="1" t="n">
        <v>46014</v>
      </c>
      <c r="B253" s="18" t="n">
        <v>36.77</v>
      </c>
      <c r="C253" t="inlineStr">
        <is>
          <t>YEONG</t>
        </is>
      </c>
      <c r="D253" s="3" t="inlineStr">
        <is>
          <t>Sbux and didi car</t>
        </is>
      </c>
      <c r="E253" s="19">
        <f>IF(Table2[[#This Row],[Spender]]="YEONG",OFFSET(Table2[[#This Row],[My Actual Balance]],-1,0)-Table2[[#This Row],[Amount]],OFFSET(Table2[[#This Row],[My Actual Balance]],-1,0))</f>
        <v/>
      </c>
      <c r="F253" s="19">
        <f>IF(Table2[[#This Row],[Spender]]="MV",OFFSET(Table2[[#This Row],[MV Balance]],-1,0)-Table2[[#This Row],[Amount]],OFFSET(Table2[[#This Row],[MV Balance]],-1,0))</f>
        <v/>
      </c>
      <c r="G253" s="19">
        <f>SUM(E253:F253)</f>
        <v/>
      </c>
    </row>
    <row r="254">
      <c r="A254" s="1" t="n">
        <v>46014</v>
      </c>
      <c r="B254" s="18" t="n">
        <v>5.6</v>
      </c>
      <c r="C254" t="inlineStr">
        <is>
          <t>YEONG</t>
        </is>
      </c>
      <c r="D254" s="3" t="inlineStr">
        <is>
          <t>Cake</t>
        </is>
      </c>
      <c r="E254" s="19">
        <f>IF(Table2[[#This Row],[Spender]]="YEONG",OFFSET(Table2[[#This Row],[My Actual Balance]],-1,0)-Table2[[#This Row],[Amount]],OFFSET(Table2[[#This Row],[My Actual Balance]],-1,0))</f>
        <v/>
      </c>
      <c r="F254" s="19">
        <f>IF(Table2[[#This Row],[Spender]]="MV",OFFSET(Table2[[#This Row],[MV Balance]],-1,0)-Table2[[#This Row],[Amount]],OFFSET(Table2[[#This Row],[MV Balance]],-1,0))</f>
        <v/>
      </c>
      <c r="G254" s="19">
        <f>SUM(E254:F254)</f>
        <v/>
      </c>
    </row>
    <row r="255">
      <c r="A255" s="1" t="n">
        <v>46017</v>
      </c>
      <c r="B255" s="18" t="n">
        <v>-10000</v>
      </c>
      <c r="C255" t="inlineStr">
        <is>
          <t>MV</t>
        </is>
      </c>
      <c r="D255" s="3" t="inlineStr">
        <is>
          <t>top up</t>
        </is>
      </c>
      <c r="E255" s="19">
        <f>IF(Table2[[#This Row],[Spender]]="YEONG",OFFSET(Table2[[#This Row],[My Actual Balance]],-1,0)-Table2[[#This Row],[Amount]],OFFSET(Table2[[#This Row],[My Actual Balance]],-1,0))</f>
        <v/>
      </c>
      <c r="F255" s="19">
        <f>IF(Table2[[#This Row],[Spender]]="MV",OFFSET(Table2[[#This Row],[MV Balance]],-1,0)-Table2[[#This Row],[Amount]],OFFSET(Table2[[#This Row],[MV Balance]],-1,0))</f>
        <v/>
      </c>
      <c r="G255" s="19">
        <f>SUM(E255:F255)</f>
        <v/>
      </c>
    </row>
    <row r="256">
      <c r="A256" s="1" t="n">
        <v>46017</v>
      </c>
      <c r="B256" s="18" t="n">
        <v>3200</v>
      </c>
      <c r="C256" t="inlineStr">
        <is>
          <t>MV</t>
        </is>
      </c>
      <c r="D256" s="3" t="inlineStr">
        <is>
          <t>4965795073488098044</t>
        </is>
      </c>
      <c r="E256" s="19">
        <f>IF(Table2[[#This Row],[Spender]]="YEONG",OFFSET(Table2[[#This Row],[My Actual Balance]],-1,0)-Table2[[#This Row],[Amount]],OFFSET(Table2[[#This Row],[My Actual Balance]],-1,0))</f>
        <v/>
      </c>
      <c r="F256" s="19">
        <f>IF(Table2[[#This Row],[Spender]]="MV",OFFSET(Table2[[#This Row],[MV Balance]],-1,0)-Table2[[#This Row],[Amount]],OFFSET(Table2[[#This Row],[MV Balance]],-1,0))</f>
        <v/>
      </c>
      <c r="G256" s="19">
        <f>SUM(E256:F256)</f>
        <v/>
      </c>
    </row>
    <row r="257">
      <c r="A257" s="1" t="n">
        <v>46017</v>
      </c>
      <c r="B257" s="18" t="n">
        <v>1895</v>
      </c>
      <c r="C257" t="inlineStr">
        <is>
          <t>MV</t>
        </is>
      </c>
      <c r="D257" s="3" t="inlineStr">
        <is>
          <t>4965920496478098044</t>
        </is>
      </c>
      <c r="E257" s="19">
        <f>IF(Table2[[#This Row],[Spender]]="YEONG",OFFSET(Table2[[#This Row],[My Actual Balance]],-1,0)-Table2[[#This Row],[Amount]],OFFSET(Table2[[#This Row],[My Actual Balance]],-1,0))</f>
        <v/>
      </c>
      <c r="F257" s="19">
        <f>IF(Table2[[#This Row],[Spender]]="MV",OFFSET(Table2[[#This Row],[MV Balance]],-1,0)-Table2[[#This Row],[Amount]],OFFSET(Table2[[#This Row],[MV Balance]],-1,0))</f>
        <v/>
      </c>
      <c r="G257" s="19">
        <f>SUM(E257:F257)</f>
        <v/>
      </c>
    </row>
    <row r="258">
      <c r="A258" s="1" t="n">
        <v>46017</v>
      </c>
      <c r="B258" s="18" t="n">
        <v>882.5</v>
      </c>
      <c r="C258" t="inlineStr">
        <is>
          <t>MV</t>
        </is>
      </c>
      <c r="D258" s="3" t="inlineStr">
        <is>
          <t>4963639179543544919</t>
        </is>
      </c>
      <c r="E258" s="19">
        <f>IF(Table2[[#This Row],[Spender]]="YEONG",OFFSET(Table2[[#This Row],[My Actual Balance]],-1,0)-Table2[[#This Row],[Amount]],OFFSET(Table2[[#This Row],[My Actual Balance]],-1,0))</f>
        <v/>
      </c>
      <c r="F258" s="19">
        <f>IF(Table2[[#This Row],[Spender]]="MV",OFFSET(Table2[[#This Row],[MV Balance]],-1,0)-Table2[[#This Row],[Amount]],OFFSET(Table2[[#This Row],[MV Balance]],-1,0))</f>
        <v/>
      </c>
      <c r="G258" s="19">
        <f>SUM(E258:F258)</f>
        <v/>
      </c>
    </row>
    <row r="259">
      <c r="A259" s="1" t="n">
        <v>46017</v>
      </c>
      <c r="B259" s="18" t="n">
        <v>200</v>
      </c>
      <c r="C259" t="inlineStr">
        <is>
          <t>YEONG</t>
        </is>
      </c>
      <c r="D259" s="3" t="inlineStr">
        <is>
          <t>Transfer to Beijing Bank</t>
        </is>
      </c>
      <c r="E259" s="19">
        <f>IF(Table2[[#This Row],[Spender]]="YEONG",OFFSET(Table2[[#This Row],[My Actual Balance]],-1,0)-Table2[[#This Row],[Amount]],OFFSET(Table2[[#This Row],[My Actual Balance]],-1,0))</f>
        <v/>
      </c>
      <c r="F259" s="19">
        <f>IF(Table2[[#This Row],[Spender]]="MV",OFFSET(Table2[[#This Row],[MV Balance]],-1,0)-Table2[[#This Row],[Amount]],OFFSET(Table2[[#This Row],[MV Balance]],-1,0))</f>
        <v/>
      </c>
      <c r="G259" s="19">
        <f>SUM(E259:F259)</f>
        <v/>
      </c>
    </row>
    <row r="260">
      <c r="A260" s="1" t="n">
        <v>46017</v>
      </c>
      <c r="B260" s="18" t="n">
        <v>-30</v>
      </c>
      <c r="C260" t="inlineStr">
        <is>
          <t>YEONG</t>
        </is>
      </c>
      <c r="D260" s="3" t="inlineStr">
        <is>
          <t>Received from Beijing Bank</t>
        </is>
      </c>
      <c r="E260" s="19">
        <f>IF(Table2[[#This Row],[Spender]]="YEONG",OFFSET(Table2[[#This Row],[My Actual Balance]],-1,0)-Table2[[#This Row],[Amount]],OFFSET(Table2[[#This Row],[My Actual Balance]],-1,0))</f>
        <v/>
      </c>
      <c r="F260" s="19">
        <f>IF(Table2[[#This Row],[Spender]]="MV",OFFSET(Table2[[#This Row],[MV Balance]],-1,0)-Table2[[#This Row],[Amount]],OFFSET(Table2[[#This Row],[MV Balance]],-1,0))</f>
        <v/>
      </c>
      <c r="G260" s="19">
        <f>SUM(E260:F260)</f>
        <v/>
      </c>
    </row>
    <row r="261">
      <c r="A261" s="1" t="n">
        <v>46017</v>
      </c>
      <c r="B261" s="18" t="n">
        <v>13.15</v>
      </c>
      <c r="C261" t="inlineStr">
        <is>
          <t>YEONG</t>
        </is>
      </c>
      <c r="D261" s="3" t="inlineStr">
        <is>
          <t>Beijing Trip Expenses</t>
        </is>
      </c>
      <c r="E261" s="19">
        <f>IF(Table2[[#This Row],[Spender]]="YEONG",OFFSET(Table2[[#This Row],[My Actual Balance]],-1,0)-Table2[[#This Row],[Amount]],OFFSET(Table2[[#This Row],[My Actual Balance]],-1,0))</f>
        <v/>
      </c>
      <c r="F261" s="19">
        <f>IF(Table2[[#This Row],[Spender]]="MV",OFFSET(Table2[[#This Row],[MV Balance]],-1,0)-Table2[[#This Row],[Amount]],OFFSET(Table2[[#This Row],[MV Balance]],-1,0))</f>
        <v/>
      </c>
      <c r="G261" s="19">
        <f>SUM(E261:F261)</f>
        <v/>
      </c>
    </row>
    <row r="262">
      <c r="A262" s="1" t="n">
        <v>46017</v>
      </c>
      <c r="B262" s="18" t="n">
        <v>26.24</v>
      </c>
      <c r="C262" t="inlineStr">
        <is>
          <t>YEONG</t>
        </is>
      </c>
      <c r="D262" s="3" t="inlineStr">
        <is>
          <t>Beijing Trip Expenses</t>
        </is>
      </c>
      <c r="E262" s="19">
        <f>IF(Table2[[#This Row],[Spender]]="YEONG",OFFSET(Table2[[#This Row],[My Actual Balance]],-1,0)-Table2[[#This Row],[Amount]],OFFSET(Table2[[#This Row],[My Actual Balance]],-1,0))</f>
        <v/>
      </c>
      <c r="F262" s="19">
        <f>IF(Table2[[#This Row],[Spender]]="MV",OFFSET(Table2[[#This Row],[MV Balance]],-1,0)-Table2[[#This Row],[Amount]],OFFSET(Table2[[#This Row],[MV Balance]],-1,0))</f>
        <v/>
      </c>
      <c r="G262" s="19">
        <f>SUM(E262:F262)</f>
        <v/>
      </c>
    </row>
    <row r="263">
      <c r="A263" s="1" t="n">
        <v>46017</v>
      </c>
      <c r="B263" s="18" t="n">
        <v>21.98</v>
      </c>
      <c r="C263" t="inlineStr">
        <is>
          <t>YEONG</t>
        </is>
      </c>
      <c r="D263" s="3" t="inlineStr">
        <is>
          <t>Beijing Trip Expenses</t>
        </is>
      </c>
      <c r="E263" s="19">
        <f>IF(Table2[[#This Row],[Spender]]="YEONG",OFFSET(Table2[[#This Row],[My Actual Balance]],-1,0)-Table2[[#This Row],[Amount]],OFFSET(Table2[[#This Row],[My Actual Balance]],-1,0))</f>
        <v/>
      </c>
      <c r="F263" s="19">
        <f>IF(Table2[[#This Row],[Spender]]="MV",OFFSET(Table2[[#This Row],[MV Balance]],-1,0)-Table2[[#This Row],[Amount]],OFFSET(Table2[[#This Row],[MV Balance]],-1,0))</f>
        <v/>
      </c>
      <c r="G263" s="19">
        <f>SUM(E263:F263)</f>
        <v/>
      </c>
    </row>
    <row r="264">
      <c r="A264" s="1" t="n">
        <v>46017</v>
      </c>
      <c r="B264" s="18" t="n">
        <v>10.3</v>
      </c>
      <c r="C264" t="inlineStr">
        <is>
          <t>YEONG</t>
        </is>
      </c>
      <c r="D264" s="3" t="inlineStr">
        <is>
          <t>Beijing Trip Expenses</t>
        </is>
      </c>
      <c r="E264" s="19">
        <f>IF(Table2[[#This Row],[Spender]]="YEONG",OFFSET(Table2[[#This Row],[My Actual Balance]],-1,0)-Table2[[#This Row],[Amount]],OFFSET(Table2[[#This Row],[My Actual Balance]],-1,0))</f>
        <v/>
      </c>
      <c r="F264" s="19">
        <f>IF(Table2[[#This Row],[Spender]]="MV",OFFSET(Table2[[#This Row],[MV Balance]],-1,0)-Table2[[#This Row],[Amount]],OFFSET(Table2[[#This Row],[MV Balance]],-1,0))</f>
        <v/>
      </c>
      <c r="G264" s="19">
        <f>SUM(E264:F264)</f>
        <v/>
      </c>
    </row>
    <row r="265">
      <c r="A265" s="1" t="n">
        <v>46017</v>
      </c>
      <c r="B265" s="18" t="n">
        <v>27</v>
      </c>
      <c r="C265" t="inlineStr">
        <is>
          <t>YEONG</t>
        </is>
      </c>
      <c r="D265" s="3" t="inlineStr">
        <is>
          <t>Beijing Trip Expenses</t>
        </is>
      </c>
      <c r="E265" s="19">
        <f>IF(Table2[[#This Row],[Spender]]="YEONG",OFFSET(Table2[[#This Row],[My Actual Balance]],-1,0)-Table2[[#This Row],[Amount]],OFFSET(Table2[[#This Row],[My Actual Balance]],-1,0))</f>
        <v/>
      </c>
      <c r="F265" s="19">
        <f>IF(Table2[[#This Row],[Spender]]="MV",OFFSET(Table2[[#This Row],[MV Balance]],-1,0)-Table2[[#This Row],[Amount]],OFFSET(Table2[[#This Row],[MV Balance]],-1,0))</f>
        <v/>
      </c>
      <c r="G265" s="19">
        <f>SUM(E265:F265)</f>
        <v/>
      </c>
    </row>
    <row r="266">
      <c r="A266" s="1" t="n">
        <v>46017</v>
      </c>
      <c r="B266" s="18" t="n">
        <v>28.14</v>
      </c>
      <c r="C266" t="inlineStr">
        <is>
          <t>YEONG</t>
        </is>
      </c>
      <c r="D266" s="3" t="inlineStr">
        <is>
          <t>Beijing Trip Expenses</t>
        </is>
      </c>
      <c r="E266" s="19">
        <f>IF(Table2[[#This Row],[Spender]]="YEONG",OFFSET(Table2[[#This Row],[My Actual Balance]],-1,0)-Table2[[#This Row],[Amount]],OFFSET(Table2[[#This Row],[My Actual Balance]],-1,0))</f>
        <v/>
      </c>
      <c r="F266" s="19">
        <f>IF(Table2[[#This Row],[Spender]]="MV",OFFSET(Table2[[#This Row],[MV Balance]],-1,0)-Table2[[#This Row],[Amount]],OFFSET(Table2[[#This Row],[MV Balance]],-1,0))</f>
        <v/>
      </c>
      <c r="G266" s="19">
        <f>SUM(E266:F266)</f>
        <v/>
      </c>
    </row>
    <row r="267">
      <c r="A267" s="1" t="n">
        <v>46017</v>
      </c>
      <c r="B267" s="18" t="n">
        <v>15.42</v>
      </c>
      <c r="C267" t="inlineStr">
        <is>
          <t>YEONG</t>
        </is>
      </c>
      <c r="D267" s="3" t="inlineStr">
        <is>
          <t>Beijing Trip Expenses</t>
        </is>
      </c>
      <c r="E267" s="19">
        <f>IF(Table2[[#This Row],[Spender]]="YEONG",OFFSET(Table2[[#This Row],[My Actual Balance]],-1,0)-Table2[[#This Row],[Amount]],OFFSET(Table2[[#This Row],[My Actual Balance]],-1,0))</f>
        <v/>
      </c>
      <c r="F267" s="19">
        <f>IF(Table2[[#This Row],[Spender]]="MV",OFFSET(Table2[[#This Row],[MV Balance]],-1,0)-Table2[[#This Row],[Amount]],OFFSET(Table2[[#This Row],[MV Balance]],-1,0))</f>
        <v/>
      </c>
      <c r="G267" s="19">
        <f>SUM(E267:F267)</f>
        <v/>
      </c>
    </row>
    <row r="268">
      <c r="A268" s="1" t="n">
        <v>46017</v>
      </c>
      <c r="B268" s="18" t="n">
        <v>20.4</v>
      </c>
      <c r="C268" t="inlineStr">
        <is>
          <t>YEONG</t>
        </is>
      </c>
      <c r="D268" s="3" t="inlineStr">
        <is>
          <t>Beijing Trip Expenses</t>
        </is>
      </c>
      <c r="E268" s="19">
        <f>IF(Table2[[#This Row],[Spender]]="YEONG",OFFSET(Table2[[#This Row],[My Actual Balance]],-1,0)-Table2[[#This Row],[Amount]],OFFSET(Table2[[#This Row],[My Actual Balance]],-1,0))</f>
        <v/>
      </c>
      <c r="F268" s="19">
        <f>IF(Table2[[#This Row],[Spender]]="MV",OFFSET(Table2[[#This Row],[MV Balance]],-1,0)-Table2[[#This Row],[Amount]],OFFSET(Table2[[#This Row],[MV Balance]],-1,0))</f>
        <v/>
      </c>
      <c r="G268" s="19">
        <f>SUM(E268:F268)</f>
        <v/>
      </c>
    </row>
    <row r="269">
      <c r="A269" s="1" t="n">
        <v>46017</v>
      </c>
      <c r="B269" s="18" t="n">
        <v>14.9</v>
      </c>
      <c r="C269" t="inlineStr">
        <is>
          <t>YEONG</t>
        </is>
      </c>
      <c r="D269" s="3" t="inlineStr">
        <is>
          <t>Beijing Trip Expenses</t>
        </is>
      </c>
      <c r="E269" s="19">
        <f>IF(Table2[[#This Row],[Spender]]="YEONG",OFFSET(Table2[[#This Row],[My Actual Balance]],-1,0)-Table2[[#This Row],[Amount]],OFFSET(Table2[[#This Row],[My Actual Balance]],-1,0))</f>
        <v/>
      </c>
      <c r="F269" s="19">
        <f>IF(Table2[[#This Row],[Spender]]="MV",OFFSET(Table2[[#This Row],[MV Balance]],-1,0)-Table2[[#This Row],[Amount]],OFFSET(Table2[[#This Row],[MV Balance]],-1,0))</f>
        <v/>
      </c>
      <c r="G269" s="19">
        <f>SUM(E269:F269)</f>
        <v/>
      </c>
    </row>
    <row r="270">
      <c r="A270" s="1" t="n">
        <v>46017</v>
      </c>
      <c r="B270" s="18" t="n">
        <v>85</v>
      </c>
      <c r="C270" t="inlineStr">
        <is>
          <t>YEONG</t>
        </is>
      </c>
      <c r="D270" s="3" t="inlineStr">
        <is>
          <t>Beijing Trip Expenses</t>
        </is>
      </c>
      <c r="E270" s="19">
        <f>IF(Table2[[#This Row],[Spender]]="YEONG",OFFSET(Table2[[#This Row],[My Actual Balance]],-1,0)-Table2[[#This Row],[Amount]],OFFSET(Table2[[#This Row],[My Actual Balance]],-1,0))</f>
        <v/>
      </c>
      <c r="F270" s="19">
        <f>IF(Table2[[#This Row],[Spender]]="MV",OFFSET(Table2[[#This Row],[MV Balance]],-1,0)-Table2[[#This Row],[Amount]],OFFSET(Table2[[#This Row],[MV Balance]],-1,0))</f>
        <v/>
      </c>
      <c r="G270" s="19">
        <f>SUM(E270:F270)</f>
        <v/>
      </c>
    </row>
    <row r="271">
      <c r="A271" s="1" t="n">
        <v>46017</v>
      </c>
      <c r="B271" s="18" t="n">
        <v>13.2</v>
      </c>
      <c r="C271" t="inlineStr">
        <is>
          <t>YEONG</t>
        </is>
      </c>
      <c r="D271" s="3" t="inlineStr">
        <is>
          <t>Beijing Trip Expenses</t>
        </is>
      </c>
      <c r="E271" s="19">
        <f>IF(Table2[[#This Row],[Spender]]="YEONG",OFFSET(Table2[[#This Row],[My Actual Balance]],-1,0)-Table2[[#This Row],[Amount]],OFFSET(Table2[[#This Row],[My Actual Balance]],-1,0))</f>
        <v/>
      </c>
      <c r="F271" s="19">
        <f>IF(Table2[[#This Row],[Spender]]="MV",OFFSET(Table2[[#This Row],[MV Balance]],-1,0)-Table2[[#This Row],[Amount]],OFFSET(Table2[[#This Row],[MV Balance]],-1,0))</f>
        <v/>
      </c>
      <c r="G271" s="19">
        <f>SUM(E271:F271)</f>
        <v/>
      </c>
    </row>
    <row r="272">
      <c r="A272" s="1" t="n">
        <v>46017</v>
      </c>
      <c r="B272" s="18" t="n">
        <v>1</v>
      </c>
      <c r="C272" t="inlineStr">
        <is>
          <t>YEONG</t>
        </is>
      </c>
      <c r="D272" s="3" t="inlineStr">
        <is>
          <t>Beijing Trip Expenses</t>
        </is>
      </c>
      <c r="E272" s="19">
        <f>IF(Table2[[#This Row],[Spender]]="YEONG",OFFSET(Table2[[#This Row],[My Actual Balance]],-1,0)-Table2[[#This Row],[Amount]],OFFSET(Table2[[#This Row],[My Actual Balance]],-1,0))</f>
        <v/>
      </c>
      <c r="F272" s="19">
        <f>IF(Table2[[#This Row],[Spender]]="MV",OFFSET(Table2[[#This Row],[MV Balance]],-1,0)-Table2[[#This Row],[Amount]],OFFSET(Table2[[#This Row],[MV Balance]],-1,0))</f>
        <v/>
      </c>
      <c r="G272" s="19">
        <f>SUM(E272:F272)</f>
        <v/>
      </c>
    </row>
    <row r="273">
      <c r="A273" s="1" t="n">
        <v>46017</v>
      </c>
      <c r="B273" s="18" t="n">
        <v>32</v>
      </c>
      <c r="C273" t="inlineStr">
        <is>
          <t>YEONG</t>
        </is>
      </c>
      <c r="D273" s="3" t="inlineStr">
        <is>
          <t>Beijing Trip Expenses</t>
        </is>
      </c>
      <c r="E273" s="19">
        <f>IF(Table2[[#This Row],[Spender]]="YEONG",OFFSET(Table2[[#This Row],[My Actual Balance]],-1,0)-Table2[[#This Row],[Amount]],OFFSET(Table2[[#This Row],[My Actual Balance]],-1,0))</f>
        <v/>
      </c>
      <c r="F273" s="19">
        <f>IF(Table2[[#This Row],[Spender]]="MV",OFFSET(Table2[[#This Row],[MV Balance]],-1,0)-Table2[[#This Row],[Amount]],OFFSET(Table2[[#This Row],[MV Balance]],-1,0))</f>
        <v/>
      </c>
      <c r="G273" s="19">
        <f>SUM(E273:F273)</f>
        <v/>
      </c>
    </row>
    <row r="274">
      <c r="A274" s="1" t="n">
        <v>46017</v>
      </c>
      <c r="B274" s="18" t="n">
        <v>26.96</v>
      </c>
      <c r="C274" t="inlineStr">
        <is>
          <t>YEONG</t>
        </is>
      </c>
      <c r="D274" s="3" t="inlineStr">
        <is>
          <t>Beijing Trip Expenses</t>
        </is>
      </c>
      <c r="E274" s="19">
        <f>IF(Table2[[#This Row],[Spender]]="YEONG",OFFSET(Table2[[#This Row],[My Actual Balance]],-1,0)-Table2[[#This Row],[Amount]],OFFSET(Table2[[#This Row],[My Actual Balance]],-1,0))</f>
        <v/>
      </c>
      <c r="F274" s="19">
        <f>IF(Table2[[#This Row],[Spender]]="MV",OFFSET(Table2[[#This Row],[MV Balance]],-1,0)-Table2[[#This Row],[Amount]],OFFSET(Table2[[#This Row],[MV Balance]],-1,0))</f>
        <v/>
      </c>
      <c r="G274" s="19">
        <f>SUM(E274:F274)</f>
        <v/>
      </c>
    </row>
    <row r="275">
      <c r="A275" s="1" t="n">
        <v>46017</v>
      </c>
      <c r="B275" s="18" t="n">
        <v>10.6</v>
      </c>
      <c r="C275" t="inlineStr">
        <is>
          <t>YEONG</t>
        </is>
      </c>
      <c r="D275" s="3" t="inlineStr">
        <is>
          <t>Beijing Trip Expenses</t>
        </is>
      </c>
      <c r="E275" s="19">
        <f>IF(Table2[[#This Row],[Spender]]="YEONG",OFFSET(Table2[[#This Row],[My Actual Balance]],-1,0)-Table2[[#This Row],[Amount]],OFFSET(Table2[[#This Row],[My Actual Balance]],-1,0))</f>
        <v/>
      </c>
      <c r="F275" s="19">
        <f>IF(Table2[[#This Row],[Spender]]="MV",OFFSET(Table2[[#This Row],[MV Balance]],-1,0)-Table2[[#This Row],[Amount]],OFFSET(Table2[[#This Row],[MV Balance]],-1,0))</f>
        <v/>
      </c>
      <c r="G275" s="19">
        <f>SUM(E275:F275)</f>
        <v/>
      </c>
    </row>
    <row r="276">
      <c r="A276" s="1" t="n">
        <v>46017</v>
      </c>
      <c r="B276" s="18" t="n">
        <v>17.62</v>
      </c>
      <c r="C276" t="inlineStr">
        <is>
          <t>YEONG</t>
        </is>
      </c>
      <c r="D276" s="3" t="inlineStr">
        <is>
          <t>Beijing Trip Expenses</t>
        </is>
      </c>
      <c r="E276" s="19">
        <f>IF(Table2[[#This Row],[Spender]]="YEONG",OFFSET(Table2[[#This Row],[My Actual Balance]],-1,0)-Table2[[#This Row],[Amount]],OFFSET(Table2[[#This Row],[My Actual Balance]],-1,0))</f>
        <v/>
      </c>
      <c r="F276" s="19">
        <f>IF(Table2[[#This Row],[Spender]]="MV",OFFSET(Table2[[#This Row],[MV Balance]],-1,0)-Table2[[#This Row],[Amount]],OFFSET(Table2[[#This Row],[MV Balance]],-1,0))</f>
        <v/>
      </c>
      <c r="G276" s="19">
        <f>SUM(E276:F276)</f>
        <v/>
      </c>
    </row>
    <row r="277">
      <c r="A277" s="1" t="n">
        <v>46017</v>
      </c>
      <c r="B277" s="18" t="n">
        <v>300</v>
      </c>
      <c r="C277" t="inlineStr">
        <is>
          <t>YEONG</t>
        </is>
      </c>
      <c r="D277" s="3" t="inlineStr">
        <is>
          <t>Transfer to Beijing Bank</t>
        </is>
      </c>
      <c r="E277" s="19">
        <f>IF(Table2[[#This Row],[Spender]]="YEONG",OFFSET(Table2[[#This Row],[My Actual Balance]],-1,0)-Table2[[#This Row],[Amount]],OFFSET(Table2[[#This Row],[My Actual Balance]],-1,0))</f>
        <v/>
      </c>
      <c r="F277" s="19">
        <f>IF(Table2[[#This Row],[Spender]]="MV",OFFSET(Table2[[#This Row],[MV Balance]],-1,0)-Table2[[#This Row],[Amount]],OFFSET(Table2[[#This Row],[MV Balance]],-1,0))</f>
        <v/>
      </c>
      <c r="G277" s="19">
        <f>SUM(E277:F277)</f>
        <v/>
      </c>
    </row>
    <row r="278">
      <c r="A278" s="1" t="n">
        <v>46020</v>
      </c>
      <c r="B278" s="18" t="n">
        <v>976</v>
      </c>
      <c r="C278" t="inlineStr">
        <is>
          <t>MV</t>
        </is>
      </c>
      <c r="D278" s="3" t="inlineStr">
        <is>
          <t>4969724149057544919</t>
        </is>
      </c>
      <c r="E278" s="19">
        <f>IF(Table2[[#This Row],[Spender]]="YEONG",OFFSET(Table2[[#This Row],[My Actual Balance]],-1,0)-Table2[[#This Row],[Amount]],OFFSET(Table2[[#This Row],[My Actual Balance]],-1,0))</f>
        <v/>
      </c>
      <c r="F278" s="19">
        <f>IF(Table2[[#This Row],[Spender]]="MV",OFFSET(Table2[[#This Row],[MV Balance]],-1,0)-Table2[[#This Row],[Amount]],OFFSET(Table2[[#This Row],[MV Balance]],-1,0))</f>
        <v/>
      </c>
      <c r="G278" s="19">
        <f>SUM(E278:F278)</f>
        <v/>
      </c>
    </row>
    <row r="279">
      <c r="A279" s="1" t="n">
        <v>46020</v>
      </c>
      <c r="B279" s="18" t="n">
        <v>4800</v>
      </c>
      <c r="C279" t="inlineStr">
        <is>
          <t>MV</t>
        </is>
      </c>
      <c r="D279" s="3" t="inlineStr">
        <is>
          <t>4969724149057544919</t>
        </is>
      </c>
      <c r="E279" s="19">
        <f>IF(Table2[[#This Row],[Spender]]="YEONG",OFFSET(Table2[[#This Row],[My Actual Balance]],-1,0)-Table2[[#This Row],[Amount]],OFFSET(Table2[[#This Row],[My Actual Balance]],-1,0))</f>
        <v/>
      </c>
      <c r="F279" s="19">
        <f>IF(Table2[[#This Row],[Spender]]="MV",OFFSET(Table2[[#This Row],[MV Balance]],-1,0)-Table2[[#This Row],[Amount]],OFFSET(Table2[[#This Row],[MV Balance]],-1,0))</f>
        <v/>
      </c>
      <c r="G279" s="19">
        <f>SUM(E279:F279)</f>
        <v/>
      </c>
    </row>
    <row r="280">
      <c r="A280" s="1" t="n">
        <v>46022</v>
      </c>
      <c r="B280" s="18" t="n">
        <v>3015</v>
      </c>
      <c r="C280" t="inlineStr">
        <is>
          <t>MV</t>
        </is>
      </c>
      <c r="D280" s="3" t="inlineStr">
        <is>
          <t>LFLF25123101</t>
        </is>
      </c>
      <c r="E280" s="19">
        <f>IF(Table2[[#This Row],[Spender]]="YEONG",OFFSET(Table2[[#This Row],[My Actual Balance]],-1,0)-Table2[[#This Row],[Amount]],OFFSET(Table2[[#This Row],[My Actual Balance]],-1,0))</f>
        <v/>
      </c>
      <c r="F280" s="19">
        <f>IF(Table2[[#This Row],[Spender]]="MV",OFFSET(Table2[[#This Row],[MV Balance]],-1,0)-Table2[[#This Row],[Amount]],OFFSET(Table2[[#This Row],[MV Balance]],-1,0))</f>
        <v/>
      </c>
      <c r="G280" s="19">
        <f>SUM(E280:F280)</f>
        <v/>
      </c>
    </row>
    <row r="281">
      <c r="A281" s="1" t="n">
        <v>46024</v>
      </c>
      <c r="B281" s="18" t="n">
        <v>805</v>
      </c>
      <c r="C281" t="inlineStr">
        <is>
          <t>MV</t>
        </is>
      </c>
      <c r="D281" s="3" t="inlineStr">
        <is>
          <t>4978591239025098044</t>
        </is>
      </c>
      <c r="E281" s="19">
        <f>IF(Table2[[#This Row],[Spender]]="YEONG",OFFSET(Table2[[#This Row],[My Actual Balance]],-1,0)-Table2[[#This Row],[Amount]],OFFSET(Table2[[#This Row],[My Actual Balance]],-1,0))</f>
        <v/>
      </c>
      <c r="F281" s="19">
        <f>IF(Table2[[#This Row],[Spender]]="MV",OFFSET(Table2[[#This Row],[MV Balance]],-1,0)-Table2[[#This Row],[Amount]],OFFSET(Table2[[#This Row],[MV Balance]],-1,0))</f>
        <v/>
      </c>
      <c r="G281" s="19">
        <f>SUM(E281:F281)</f>
        <v/>
      </c>
    </row>
    <row r="282">
      <c r="A282" s="1" t="n">
        <v>46024</v>
      </c>
      <c r="B282" s="18" t="n">
        <v>-10000</v>
      </c>
      <c r="C282" t="inlineStr">
        <is>
          <t>MV</t>
        </is>
      </c>
      <c r="D282" s="3" t="inlineStr">
        <is>
          <t>top up</t>
        </is>
      </c>
      <c r="E282" s="19">
        <f>IF(Table2[[#This Row],[Spender]]="YEONG",OFFSET(Table2[[#This Row],[My Actual Balance]],-1,0)-Table2[[#This Row],[Amount]],OFFSET(Table2[[#This Row],[My Actual Balance]],-1,0))</f>
        <v/>
      </c>
      <c r="F282" s="19">
        <f>IF(Table2[[#This Row],[Spender]]="MV",OFFSET(Table2[[#This Row],[MV Balance]],-1,0)-Table2[[#This Row],[Amount]],OFFSET(Table2[[#This Row],[MV Balance]],-1,0))</f>
        <v/>
      </c>
      <c r="G282" s="19">
        <f>SUM(E282:F282)</f>
        <v/>
      </c>
    </row>
    <row r="283">
      <c r="A283" s="1" t="n">
        <v>46025</v>
      </c>
      <c r="B283" s="18" t="n">
        <v>790</v>
      </c>
      <c r="C283" t="inlineStr">
        <is>
          <t>MV</t>
        </is>
      </c>
      <c r="D283" s="3" t="inlineStr">
        <is>
          <t>4985028327612544919</t>
        </is>
      </c>
      <c r="E283" s="19">
        <f>IF(Table2[[#This Row],[Spender]]="YEONG",OFFSET(Table2[[#This Row],[My Actual Balance]],-1,0)-Table2[[#This Row],[Amount]],OFFSET(Table2[[#This Row],[My Actual Balance]],-1,0))</f>
        <v/>
      </c>
      <c r="F283" s="19">
        <f>IF(Table2[[#This Row],[Spender]]="MV",OFFSET(Table2[[#This Row],[MV Balance]],-1,0)-Table2[[#This Row],[Amount]],OFFSET(Table2[[#This Row],[MV Balance]],-1,0))</f>
        <v/>
      </c>
      <c r="G283" s="19">
        <f>SUM(E283:F283)</f>
        <v/>
      </c>
    </row>
    <row r="284">
      <c r="A284" s="1" t="n">
        <v>46025</v>
      </c>
      <c r="B284" s="18" t="n">
        <v>2125</v>
      </c>
      <c r="C284" t="inlineStr">
        <is>
          <t>MV</t>
        </is>
      </c>
      <c r="D284" s="3" t="inlineStr">
        <is>
          <t>XH20251229005</t>
        </is>
      </c>
      <c r="E284" s="19">
        <f>IF(Table2[[#This Row],[Spender]]="YEONG",OFFSET(Table2[[#This Row],[My Actual Balance]],-1,0)-Table2[[#This Row],[Amount]],OFFSET(Table2[[#This Row],[My Actual Balance]],-1,0))</f>
        <v/>
      </c>
      <c r="F284" s="19">
        <f>IF(Table2[[#This Row],[Spender]]="MV",OFFSET(Table2[[#This Row],[MV Balance]],-1,0)-Table2[[#This Row],[Amount]],OFFSET(Table2[[#This Row],[MV Balance]],-1,0))</f>
        <v/>
      </c>
      <c r="G284" s="19">
        <f>SUM(E284:F284)</f>
        <v/>
      </c>
    </row>
    <row r="285">
      <c r="A285" s="1" t="n">
        <v>46028</v>
      </c>
      <c r="B285" s="18" t="n">
        <v>5760</v>
      </c>
      <c r="C285" t="inlineStr">
        <is>
          <t>MV</t>
        </is>
      </c>
      <c r="D285" s="3" t="inlineStr">
        <is>
          <t>4990482687045098044</t>
        </is>
      </c>
      <c r="E285" s="19">
        <f>IF(Table2[[#This Row],[Spender]]="YEONG",OFFSET(Table2[[#This Row],[My Actual Balance]],-1,0)-Table2[[#This Row],[Amount]],OFFSET(Table2[[#This Row],[My Actual Balance]],-1,0))</f>
        <v/>
      </c>
      <c r="F285" s="19">
        <f>IF(Table2[[#This Row],[Spender]]="MV",OFFSET(Table2[[#This Row],[MV Balance]],-1,0)-Table2[[#This Row],[Amount]],OFFSET(Table2[[#This Row],[MV Balance]],-1,0))</f>
        <v/>
      </c>
      <c r="G285" s="19">
        <f>SUM(E285:F285)</f>
        <v/>
      </c>
    </row>
    <row r="286">
      <c r="A286" s="1" t="n">
        <v>46030</v>
      </c>
      <c r="B286" s="18" t="n">
        <v>2017</v>
      </c>
      <c r="C286" t="inlineStr">
        <is>
          <t>MV</t>
        </is>
      </c>
      <c r="D286" s="3" t="inlineStr">
        <is>
          <t>4993388173425544919</t>
        </is>
      </c>
      <c r="E286" s="10">
        <f>IF(Table2[[#This Row],[Spender]]="YEONG",OFFSET(Table2[[#This Row],[My Actual Balance]],-1,0)-Table2[[#This Row],[Amount]],OFFSET(Table2[[#This Row],[My Actual Balance]],-1,0))</f>
        <v/>
      </c>
      <c r="F286" s="10">
        <f>IF(Table2[[#This Row],[Spender]]="MV",OFFSET(Table2[[#This Row],[MV Balance]],-1,0)-Table2[[#This Row],[Amount]],OFFSET(Table2[[#This Row],[MV Balance]],-1,0))</f>
        <v/>
      </c>
      <c r="G286" s="10">
        <f>SUM(E286:F286)</f>
        <v/>
      </c>
    </row>
    <row r="287">
      <c r="A287" s="1" t="n">
        <v>46030</v>
      </c>
      <c r="B287" s="18" t="n">
        <v>-10000</v>
      </c>
      <c r="C287" t="inlineStr">
        <is>
          <t>MV</t>
        </is>
      </c>
      <c r="D287" s="3" t="inlineStr">
        <is>
          <t>Top up</t>
        </is>
      </c>
      <c r="E287" s="10">
        <f>IF(Table2[[#This Row],[Spender]]="YEONG",OFFSET(Table2[[#This Row],[My Actual Balance]],-1,0)-Table2[[#This Row],[Amount]],OFFSET(Table2[[#This Row],[My Actual Balance]],-1,0))</f>
        <v/>
      </c>
      <c r="F287" s="10">
        <f>IF(Table2[[#This Row],[Spender]]="MV",OFFSET(Table2[[#This Row],[MV Balance]],-1,0)-Table2[[#This Row],[Amount]],OFFSET(Table2[[#This Row],[MV Balance]],-1,0))</f>
        <v/>
      </c>
      <c r="G287" s="10">
        <f>SUM(E287:F287)</f>
        <v/>
      </c>
    </row>
    <row r="288">
      <c r="A288" s="1" t="n">
        <v>46031</v>
      </c>
      <c r="B288" s="18" t="n">
        <v>2340</v>
      </c>
      <c r="C288" t="inlineStr">
        <is>
          <t>MV</t>
        </is>
      </c>
      <c r="D288" s="3" t="inlineStr">
        <is>
          <t>4996706437178098044</t>
        </is>
      </c>
      <c r="E288" s="10">
        <f>IF(Table2[[#This Row],[Spender]]="YEONG",OFFSET(Table2[[#This Row],[My Actual Balance]],-1,0)-Table2[[#This Row],[Amount]],OFFSET(Table2[[#This Row],[My Actual Balance]],-1,0))</f>
        <v/>
      </c>
      <c r="F288" s="10">
        <f>IF(Table2[[#This Row],[Spender]]="MV",OFFSET(Table2[[#This Row],[MV Balance]],-1,0)-Table2[[#This Row],[Amount]],OFFSET(Table2[[#This Row],[MV Balance]],-1,0))</f>
        <v/>
      </c>
      <c r="G288" s="10">
        <f>SUM(E288:F288)</f>
        <v/>
      </c>
    </row>
    <row r="289">
      <c r="A289" s="1" t="n">
        <v>46034</v>
      </c>
      <c r="B289" s="18" t="n">
        <v>4635</v>
      </c>
      <c r="C289" t="inlineStr">
        <is>
          <t>MV</t>
        </is>
      </c>
      <c r="D289" s="3" t="inlineStr">
        <is>
          <t>4999480453628098044</t>
        </is>
      </c>
      <c r="E289" s="10">
        <f>IF(Table2[[#This Row],[Spender]]="YEONG",OFFSET(Table2[[#This Row],[My Actual Balance]],-1,0)-Table2[[#This Row],[Amount]],OFFSET(Table2[[#This Row],[My Actual Balance]],-1,0))</f>
        <v/>
      </c>
      <c r="F289" s="10">
        <f>IF(Table2[[#This Row],[Spender]]="MV",OFFSET(Table2[[#This Row],[MV Balance]],-1,0)-Table2[[#This Row],[Amount]],OFFSET(Table2[[#This Row],[MV Balance]],-1,0))</f>
        <v/>
      </c>
      <c r="G289" s="10">
        <f>SUM(E289:F289)</f>
        <v/>
      </c>
    </row>
    <row r="290">
      <c r="A290" s="1" t="n">
        <v>46034</v>
      </c>
      <c r="B290" s="18" t="n">
        <v>751</v>
      </c>
      <c r="C290" t="inlineStr">
        <is>
          <t>MV</t>
        </is>
      </c>
      <c r="D290" s="3" t="inlineStr">
        <is>
          <t>4999485636420544919</t>
        </is>
      </c>
      <c r="E290" s="10">
        <f>IF(Table2[[#This Row],[Spender]]="YEONG",OFFSET(Table2[[#This Row],[My Actual Balance]],-1,0)-Table2[[#This Row],[Amount]],OFFSET(Table2[[#This Row],[My Actual Balance]],-1,0))</f>
        <v/>
      </c>
      <c r="F290" s="10">
        <f>IF(Table2[[#This Row],[Spender]]="MV",OFFSET(Table2[[#This Row],[MV Balance]],-1,0)-Table2[[#This Row],[Amount]],OFFSET(Table2[[#This Row],[MV Balance]],-1,0))</f>
        <v/>
      </c>
      <c r="G290" s="10">
        <f>SUM(E290:F290)</f>
        <v/>
      </c>
    </row>
    <row r="291">
      <c r="A291" s="1" t="n">
        <v>46039</v>
      </c>
      <c r="B291" s="18" t="n">
        <v>900.6</v>
      </c>
      <c r="C291" t="inlineStr">
        <is>
          <t>MV</t>
        </is>
      </c>
      <c r="D291" s="3" t="inlineStr">
        <is>
          <t>5012364852681098044</t>
        </is>
      </c>
      <c r="E291" s="10">
        <f>IF(Table2[[#This Row],[Spender]]="YEONG",OFFSET(Table2[[#This Row],[My Actual Balance]],-1,0)-Table2[[#This Row],[Amount]],OFFSET(Table2[[#This Row],[My Actual Balance]],-1,0))</f>
        <v/>
      </c>
      <c r="F291" s="10">
        <f>IF(Table2[[#This Row],[Spender]]="MV",OFFSET(Table2[[#This Row],[MV Balance]],-1,0)-Table2[[#This Row],[Amount]],OFFSET(Table2[[#This Row],[MV Balance]],-1,0))</f>
        <v/>
      </c>
      <c r="G291" s="10">
        <f>SUM(E291:F291)</f>
        <v/>
      </c>
    </row>
    <row r="292">
      <c r="A292" s="1" t="n">
        <v>46039</v>
      </c>
      <c r="B292" s="18" t="n">
        <v>770</v>
      </c>
      <c r="C292" t="inlineStr">
        <is>
          <t>MV</t>
        </is>
      </c>
      <c r="D292" s="3" t="inlineStr">
        <is>
          <t>5016373167019544919</t>
        </is>
      </c>
      <c r="E292" s="10">
        <f>IF(Table2[[#This Row],[Spender]]="YEONG",OFFSET(Table2[[#This Row],[My Actual Balance]],-1,0)-Table2[[#This Row],[Amount]],OFFSET(Table2[[#This Row],[My Actual Balance]],-1,0))</f>
        <v/>
      </c>
      <c r="F292" s="10">
        <f>IF(Table2[[#This Row],[Spender]]="MV",OFFSET(Table2[[#This Row],[MV Balance]],-1,0)-Table2[[#This Row],[Amount]],OFFSET(Table2[[#This Row],[MV Balance]],-1,0))</f>
        <v/>
      </c>
      <c r="G292" s="10">
        <f>SUM(E292:F292)</f>
        <v/>
      </c>
    </row>
    <row r="293">
      <c r="A293" s="1" t="n">
        <v>46041</v>
      </c>
      <c r="B293" s="18" t="n">
        <v>613.4</v>
      </c>
      <c r="C293" t="inlineStr">
        <is>
          <t>MV</t>
        </is>
      </c>
      <c r="D293" s="3" t="inlineStr">
        <is>
          <t>5016502586456544919</t>
        </is>
      </c>
      <c r="E293" s="10">
        <f>IF(Table2[[#This Row],[Spender]]="YEONG",OFFSET(Table2[[#This Row],[My Actual Balance]],-1,0)-Table2[[#This Row],[Amount]],OFFSET(Table2[[#This Row],[My Actual Balance]],-1,0))</f>
        <v/>
      </c>
      <c r="F293" s="10">
        <f>IF(Table2[[#This Row],[Spender]]="MV",OFFSET(Table2[[#This Row],[MV Balance]],-1,0)-Table2[[#This Row],[Amount]],OFFSET(Table2[[#This Row],[MV Balance]],-1,0))</f>
        <v/>
      </c>
      <c r="G293" s="10">
        <f>SUM(E293:F293)</f>
        <v/>
      </c>
    </row>
    <row r="294">
      <c r="A294" s="1" t="n">
        <v>46041</v>
      </c>
      <c r="B294" s="18" t="n">
        <v>-10000</v>
      </c>
      <c r="C294" t="inlineStr">
        <is>
          <t>MV</t>
        </is>
      </c>
      <c r="D294" s="3" t="inlineStr">
        <is>
          <t>TOP UP</t>
        </is>
      </c>
      <c r="E294" s="28">
        <f>IF(Table2[[#This Row],[Spender]]="YEONG",OFFSET(Table2[[#This Row],[My Actual Balance]],-1,0)-Table2[[#This Row],[Amount]],OFFSET(Table2[[#This Row],[My Actual Balance]],-1,0))</f>
        <v/>
      </c>
      <c r="F294" s="28">
        <f>IF(Table2[[#This Row],[Spender]]="MV",OFFSET(Table2[[#This Row],[MV Balance]],-1,0)-Table2[[#This Row],[Amount]],OFFSET(Table2[[#This Row],[MV Balance]],-1,0))</f>
        <v/>
      </c>
      <c r="G294" s="28">
        <f>SUM(E294:F294)</f>
        <v/>
      </c>
    </row>
    <row r="295">
      <c r="A295" s="1" t="n">
        <v>46043</v>
      </c>
      <c r="B295" s="18" t="n">
        <v>5815</v>
      </c>
      <c r="C295" t="inlineStr">
        <is>
          <t>MV</t>
        </is>
      </c>
      <c r="D295" s="3" t="inlineStr">
        <is>
          <t>5020977567952098044</t>
        </is>
      </c>
      <c r="E295" s="10">
        <f>IF(Table2[[#This Row],[Spender]]="YEONG",OFFSET(Table2[[#This Row],[My Actual Balance]],-1,0)-Table2[[#This Row],[Amount]],OFFSET(Table2[[#This Row],[My Actual Balance]],-1,0))</f>
        <v/>
      </c>
      <c r="F295" s="10">
        <f>IF(Table2[[#This Row],[Spender]]="MV",OFFSET(Table2[[#This Row],[MV Balance]],-1,0)-Table2[[#This Row],[Amount]],OFFSET(Table2[[#This Row],[MV Balance]],-1,0))</f>
        <v/>
      </c>
      <c r="G295" s="10">
        <f>SUM(E295:F295)</f>
        <v/>
      </c>
    </row>
    <row r="296">
      <c r="A296" s="1" t="n">
        <v>46045</v>
      </c>
      <c r="B296" s="18" t="n">
        <v>1080.24</v>
      </c>
      <c r="C296" t="inlineStr">
        <is>
          <t>MV</t>
        </is>
      </c>
      <c r="D296" s="3" t="inlineStr">
        <is>
          <t>GZ Shipment Top up</t>
        </is>
      </c>
      <c r="E296" s="10">
        <f>IF(Table2[[#This Row],[Spender]]="YEONG",OFFSET(Table2[[#This Row],[My Actual Balance]],-1,0)-Table2[[#This Row],[Amount]],OFFSET(Table2[[#This Row],[My Actual Balance]],-1,0))</f>
        <v/>
      </c>
      <c r="F296" s="10">
        <f>IF(Table2[[#This Row],[Spender]]="MV",OFFSET(Table2[[#This Row],[MV Balance]],-1,0)-Table2[[#This Row],[Amount]],OFFSET(Table2[[#This Row],[MV Balance]],-1,0))</f>
        <v/>
      </c>
      <c r="G296" s="10">
        <f>SUM(E296:F296)</f>
        <v/>
      </c>
    </row>
    <row r="297">
      <c r="A297" s="1" t="n">
        <v>46045</v>
      </c>
      <c r="B297" s="18" t="n">
        <v>3800</v>
      </c>
      <c r="C297" t="inlineStr">
        <is>
          <t>MV</t>
        </is>
      </c>
      <c r="D297" s="3" t="inlineStr">
        <is>
          <t>5029993729382098044</t>
        </is>
      </c>
      <c r="E297" s="29">
        <f>IF(Table2[[#This Row],[Spender]]="YEONG",OFFSET(Table2[[#This Row],[My Actual Balance]],-1,0)-Table2[[#This Row],[Amount]],OFFSET(Table2[[#This Row],[My Actual Balance]],-1,0))</f>
        <v/>
      </c>
      <c r="F297" s="29">
        <f>IF(Table2[[#This Row],[Spender]]="MV",OFFSET(Table2[[#This Row],[MV Balance]],-1,0)-Table2[[#This Row],[Amount]],OFFSET(Table2[[#This Row],[MV Balance]],-1,0))</f>
        <v/>
      </c>
      <c r="G297" s="29">
        <f>SUM(E297:F297)</f>
        <v/>
      </c>
    </row>
    <row r="298">
      <c r="A298" s="1" t="n">
        <v>46046</v>
      </c>
      <c r="B298" s="18" t="n">
        <v>900</v>
      </c>
      <c r="C298" t="inlineStr">
        <is>
          <t>MV</t>
        </is>
      </c>
      <c r="D298" s="3" t="inlineStr">
        <is>
          <t>5024918126707098044</t>
        </is>
      </c>
      <c r="E298" s="10">
        <f>IF(Table2[[#This Row],[Spender]]="YEONG",OFFSET(Table2[[#This Row],[My Actual Balance]],-1,0)-Table2[[#This Row],[Amount]],OFFSET(Table2[[#This Row],[My Actual Balance]],-1,0))</f>
        <v/>
      </c>
      <c r="F298" s="10">
        <f>IF(Table2[[#This Row],[Spender]]="MV",OFFSET(Table2[[#This Row],[MV Balance]],-1,0)-Table2[[#This Row],[Amount]],OFFSET(Table2[[#This Row],[MV Balance]],-1,0))</f>
        <v/>
      </c>
      <c r="G298" s="10">
        <f>SUM(E298:F298)</f>
        <v/>
      </c>
    </row>
    <row r="299">
      <c r="A299" s="1" t="n">
        <v>46048</v>
      </c>
      <c r="B299" s="18" t="n">
        <v>-10000</v>
      </c>
      <c r="C299" t="inlineStr">
        <is>
          <t>MV</t>
        </is>
      </c>
      <c r="D299" s="3" t="inlineStr">
        <is>
          <t>TOP UP</t>
        </is>
      </c>
      <c r="E299" s="10">
        <f>IF(Table2[[#This Row],[Spender]]="YEONG",OFFSET(Table2[[#This Row],[My Actual Balance]],-1,0)-Table2[[#This Row],[Amount]],OFFSET(Table2[[#This Row],[My Actual Balance]],-1,0))</f>
        <v/>
      </c>
      <c r="F299" s="10">
        <f>IF(Table2[[#This Row],[Spender]]="MV",OFFSET(Table2[[#This Row],[MV Balance]],-1,0)-Table2[[#This Row],[Amount]],OFFSET(Table2[[#This Row],[MV Balance]],-1,0))</f>
        <v/>
      </c>
      <c r="G299" s="10">
        <f>SUM(E299:F299)</f>
        <v/>
      </c>
    </row>
    <row r="300">
      <c r="A300" s="1" t="n">
        <v>46049</v>
      </c>
      <c r="B300" s="18" t="n">
        <v>383.12</v>
      </c>
      <c r="C300" t="inlineStr">
        <is>
          <t>YEONG</t>
        </is>
      </c>
      <c r="D300" s="3" t="inlineStr">
        <is>
          <t>Ipad keyboard case</t>
        </is>
      </c>
      <c r="E300" s="30">
        <f>IF(Table2[[#This Row],[Spender]]="YEONG",OFFSET(Table2[[#This Row],[My Actual Balance]],-1,0)-Table2[[#This Row],[Amount]],OFFSET(Table2[[#This Row],[My Actual Balance]],-1,0))</f>
        <v/>
      </c>
      <c r="F300" s="30">
        <f>IF(Table2[[#This Row],[Spender]]="MV",OFFSET(Table2[[#This Row],[MV Balance]],-1,0)-Table2[[#This Row],[Amount]],OFFSET(Table2[[#This Row],[MV Balance]],-1,0))</f>
        <v/>
      </c>
      <c r="G300" s="30">
        <f>SUM(E300:F300)</f>
        <v/>
      </c>
    </row>
    <row r="301">
      <c r="A301" s="1" t="n">
        <v>46050</v>
      </c>
      <c r="B301" s="18" t="n">
        <v>5776.5</v>
      </c>
      <c r="C301" t="inlineStr">
        <is>
          <t>MV</t>
        </is>
      </c>
      <c r="D301" s="3" t="inlineStr">
        <is>
          <t>5039235255322544919</t>
        </is>
      </c>
      <c r="E301" s="30">
        <f>IF(Table2[[#This Row],[Spender]]="YEONG",OFFSET(Table2[[#This Row],[My Actual Balance]],-1,0)-Table2[[#This Row],[Amount]],OFFSET(Table2[[#This Row],[My Actual Balance]],-1,0))</f>
        <v/>
      </c>
      <c r="F301" s="30">
        <f>IF(Table2[[#This Row],[Spender]]="MV",OFFSET(Table2[[#This Row],[MV Balance]],-1,0)-Table2[[#This Row],[Amount]],OFFSET(Table2[[#This Row],[MV Balance]],-1,0))</f>
        <v/>
      </c>
      <c r="G301" s="30">
        <f>SUM(E301:F301)</f>
        <v/>
      </c>
    </row>
    <row r="302">
      <c r="A302" s="1" t="n">
        <v>46051</v>
      </c>
      <c r="B302" s="18" t="n">
        <v>2409</v>
      </c>
      <c r="C302" t="inlineStr">
        <is>
          <t>MV</t>
        </is>
      </c>
      <c r="D302" s="3" t="inlineStr">
        <is>
          <t>XH20260129001</t>
        </is>
      </c>
      <c r="E302" s="30">
        <f>IF(Table2[[#This Row],[Spender]]="YEONG",OFFSET(Table2[[#This Row],[My Actual Balance]],-1,0)-Table2[[#This Row],[Amount]],OFFSET(Table2[[#This Row],[My Actual Balance]],-1,0))</f>
        <v/>
      </c>
      <c r="F302" s="30">
        <f>IF(Table2[[#This Row],[Spender]]="MV",OFFSET(Table2[[#This Row],[MV Balance]],-1,0)-Table2[[#This Row],[Amount]],OFFSET(Table2[[#This Row],[MV Balance]],-1,0))</f>
        <v/>
      </c>
      <c r="G302" s="30">
        <f>SUM(E302:F302)</f>
        <v/>
      </c>
    </row>
    <row r="303">
      <c r="A303" s="1" t="n">
        <v>46061</v>
      </c>
      <c r="B303" s="18" t="n">
        <v>125</v>
      </c>
      <c r="C303" t="inlineStr">
        <is>
          <t>YEONG</t>
        </is>
      </c>
      <c r="D303" s="3" t="inlineStr">
        <is>
          <t>Food</t>
        </is>
      </c>
      <c r="E303" s="30">
        <f>IF(Table2[[#This Row],[Spender]]="YEONG",OFFSET(Table2[[#This Row],[My Actual Balance]],-1,0)-Table2[[#This Row],[Amount]],OFFSET(Table2[[#This Row],[My Actual Balance]],-1,0))</f>
        <v/>
      </c>
      <c r="F303" s="30">
        <f>IF(Table2[[#This Row],[Spender]]="MV",OFFSET(Table2[[#This Row],[MV Balance]],-1,0)-Table2[[#This Row],[Amount]],OFFSET(Table2[[#This Row],[MV Balance]],-1,0))</f>
        <v/>
      </c>
      <c r="G303" s="30">
        <f>SUM(E303:F303)</f>
        <v/>
      </c>
    </row>
    <row r="304">
      <c r="A304" s="1" t="inlineStr">
        <is>
          <t>28-02-26</t>
        </is>
      </c>
      <c r="B304" t="n">
        <v>12347181</v>
      </c>
      <c r="C304" t="inlineStr">
        <is>
          <t>MV</t>
        </is>
      </c>
      <c r="D304" t="inlineStr">
        <is>
          <t>Dummy</t>
        </is>
      </c>
    </row>
    <row r="305">
      <c r="A305" s="1" t="n"/>
    </row>
    <row r="306">
      <c r="A306" s="1" t="n"/>
    </row>
    <row r="307">
      <c r="A307" s="1" t="n"/>
    </row>
    <row r="308">
      <c r="A308" s="1" t="n"/>
    </row>
    <row r="309">
      <c r="A309" s="1" t="n"/>
    </row>
    <row r="310">
      <c r="A310" s="1" t="n"/>
    </row>
    <row r="311">
      <c r="A311" s="1" t="n"/>
    </row>
    <row r="312">
      <c r="A312" s="1" t="n"/>
    </row>
    <row r="313">
      <c r="A313" s="1" t="n"/>
    </row>
    <row r="314">
      <c r="A314" s="1" t="n"/>
    </row>
    <row r="315">
      <c r="A315" s="1" t="n"/>
    </row>
    <row r="316">
      <c r="A316" s="1" t="n"/>
    </row>
    <row r="317">
      <c r="A317" s="1" t="n"/>
    </row>
    <row r="318">
      <c r="A318" s="1" t="n"/>
    </row>
    <row r="319">
      <c r="A319" s="1" t="n"/>
    </row>
    <row r="320">
      <c r="A320" s="1" t="n"/>
    </row>
    <row r="321">
      <c r="A321" s="1" t="n"/>
    </row>
    <row r="322">
      <c r="A322" s="1" t="n"/>
    </row>
    <row r="323">
      <c r="A323" s="1" t="n"/>
    </row>
    <row r="324">
      <c r="A324" s="1" t="n"/>
    </row>
    <row r="325">
      <c r="A325" s="1" t="n"/>
    </row>
    <row r="326">
      <c r="A326" s="1" t="n"/>
    </row>
    <row r="327">
      <c r="A327" s="1" t="n"/>
    </row>
    <row r="328">
      <c r="A328" s="1" t="n"/>
    </row>
    <row r="329">
      <c r="A329" s="1" t="n"/>
    </row>
    <row r="330">
      <c r="A330" s="1" t="n"/>
    </row>
    <row r="331">
      <c r="A331" s="1" t="n"/>
    </row>
    <row r="332">
      <c r="A332" s="1" t="n"/>
    </row>
    <row r="333">
      <c r="A333" s="1" t="n"/>
    </row>
    <row r="334">
      <c r="A334" s="1" t="n"/>
    </row>
    <row r="335">
      <c r="A335" s="1" t="n"/>
    </row>
    <row r="336">
      <c r="A336" s="1" t="n"/>
    </row>
    <row r="337">
      <c r="A337" s="1" t="n"/>
    </row>
    <row r="338">
      <c r="A338" s="1" t="n"/>
    </row>
    <row r="339">
      <c r="A339" s="1" t="n"/>
    </row>
    <row r="340">
      <c r="A340" s="1" t="n"/>
    </row>
    <row r="341">
      <c r="A341" s="1" t="n"/>
    </row>
    <row r="342">
      <c r="A342" s="1" t="n"/>
    </row>
    <row r="343">
      <c r="A343" s="1" t="n"/>
    </row>
    <row r="344">
      <c r="A344" s="1" t="n"/>
    </row>
    <row r="345">
      <c r="A345" s="1" t="n"/>
    </row>
    <row r="346">
      <c r="A346" s="1" t="n"/>
    </row>
    <row r="347">
      <c r="A347" s="1" t="n"/>
    </row>
    <row r="348">
      <c r="A348" s="1" t="n"/>
    </row>
    <row r="349">
      <c r="A349" s="1" t="n"/>
    </row>
    <row r="350">
      <c r="A350" s="1" t="n"/>
    </row>
    <row r="351">
      <c r="A351" s="1" t="n"/>
    </row>
    <row r="352">
      <c r="A352" s="1" t="n"/>
    </row>
    <row r="353">
      <c r="A353" s="1" t="n"/>
    </row>
    <row r="354">
      <c r="A354" s="1" t="n"/>
    </row>
    <row r="355">
      <c r="A355" s="1" t="n"/>
    </row>
    <row r="356">
      <c r="A356" s="1" t="n"/>
    </row>
    <row r="357">
      <c r="A357" s="1" t="n"/>
    </row>
    <row r="358">
      <c r="A358" s="1" t="n"/>
    </row>
    <row r="359">
      <c r="A359" s="1" t="n"/>
    </row>
    <row r="360">
      <c r="A360" s="1" t="n"/>
    </row>
    <row r="361">
      <c r="A361" s="1" t="n"/>
    </row>
    <row r="362">
      <c r="A362" s="1" t="n"/>
    </row>
    <row r="363">
      <c r="A363" s="1" t="n"/>
    </row>
    <row r="364">
      <c r="A364" s="1" t="n"/>
    </row>
    <row r="365">
      <c r="A365" s="1" t="n"/>
    </row>
    <row r="366">
      <c r="A366" s="1" t="n"/>
    </row>
    <row r="367">
      <c r="A367" s="1" t="n"/>
    </row>
    <row r="368">
      <c r="A368" s="1" t="n"/>
    </row>
    <row r="369">
      <c r="A369" s="1" t="n"/>
    </row>
    <row r="370">
      <c r="A370" s="1" t="n"/>
    </row>
    <row r="371">
      <c r="A371" s="1" t="n"/>
    </row>
    <row r="372">
      <c r="A372" s="1" t="n"/>
    </row>
    <row r="373">
      <c r="A373" s="1" t="n"/>
    </row>
    <row r="374">
      <c r="A374" s="1" t="n"/>
    </row>
    <row r="375">
      <c r="A375" s="1" t="n"/>
    </row>
    <row r="376">
      <c r="A376" s="1" t="n"/>
    </row>
    <row r="377">
      <c r="A377" s="1" t="n"/>
    </row>
    <row r="378">
      <c r="A378" s="1" t="n"/>
    </row>
    <row r="379">
      <c r="A379" s="1" t="n"/>
    </row>
    <row r="380">
      <c r="A380" s="1" t="n"/>
    </row>
    <row r="381">
      <c r="A381" s="1" t="n"/>
    </row>
    <row r="382">
      <c r="A382" s="1" t="n"/>
    </row>
    <row r="383">
      <c r="A383" s="1" t="n"/>
    </row>
    <row r="384">
      <c r="A384" s="1" t="n"/>
    </row>
    <row r="385">
      <c r="A385" s="1" t="n"/>
    </row>
    <row r="386">
      <c r="A386" s="1" t="n"/>
    </row>
    <row r="387">
      <c r="A387" s="1" t="n"/>
    </row>
    <row r="388">
      <c r="A388" s="1" t="n"/>
    </row>
    <row r="389">
      <c r="A389" s="1" t="n"/>
    </row>
    <row r="390">
      <c r="A390" s="1" t="n"/>
    </row>
    <row r="391">
      <c r="A391" s="1" t="n"/>
    </row>
    <row r="392">
      <c r="A392" s="1" t="n"/>
    </row>
    <row r="393">
      <c r="A393" s="1" t="n"/>
    </row>
    <row r="394">
      <c r="A394" s="1" t="n"/>
    </row>
    <row r="395">
      <c r="A395" s="1" t="n"/>
    </row>
    <row r="396">
      <c r="A396" s="1" t="n"/>
    </row>
    <row r="397">
      <c r="A397" s="1" t="n"/>
    </row>
    <row r="398">
      <c r="A398" s="1" t="n"/>
    </row>
    <row r="399">
      <c r="A399" s="1" t="n"/>
    </row>
    <row r="400">
      <c r="A400" s="1" t="n"/>
    </row>
    <row r="401">
      <c r="A401" s="1" t="n"/>
    </row>
    <row r="402">
      <c r="A402" s="1" t="n"/>
    </row>
    <row r="403">
      <c r="A403" s="1" t="n"/>
    </row>
    <row r="404">
      <c r="A404" s="1" t="n"/>
    </row>
    <row r="405">
      <c r="A405" s="1" t="n"/>
    </row>
    <row r="406">
      <c r="A406" s="1" t="n"/>
    </row>
    <row r="407">
      <c r="A407" s="1" t="n"/>
    </row>
    <row r="408">
      <c r="A408" s="1" t="n"/>
    </row>
    <row r="409">
      <c r="A409" s="1" t="n"/>
    </row>
    <row r="410">
      <c r="A410" s="1" t="n"/>
    </row>
    <row r="411">
      <c r="A411" s="1" t="n"/>
    </row>
    <row r="412">
      <c r="A412" s="1" t="n"/>
    </row>
    <row r="413">
      <c r="A413" s="1" t="n"/>
    </row>
    <row r="414">
      <c r="A414" s="1" t="n"/>
    </row>
    <row r="415">
      <c r="A415" s="1" t="n"/>
    </row>
    <row r="416">
      <c r="A416" s="1" t="n"/>
    </row>
    <row r="417">
      <c r="A417" s="1" t="n"/>
    </row>
    <row r="418">
      <c r="A418" s="1" t="n"/>
    </row>
    <row r="419">
      <c r="A419" s="1" t="n"/>
    </row>
    <row r="420">
      <c r="A420" s="1" t="n"/>
    </row>
    <row r="421">
      <c r="A421" s="1" t="n"/>
    </row>
    <row r="422">
      <c r="A422" s="1" t="n"/>
    </row>
    <row r="423">
      <c r="A423" s="1" t="n"/>
    </row>
    <row r="424">
      <c r="A424" s="1" t="n"/>
    </row>
    <row r="425">
      <c r="A425" s="1" t="n"/>
    </row>
    <row r="426">
      <c r="A426" s="1" t="n"/>
    </row>
    <row r="427">
      <c r="A427" s="1" t="n"/>
    </row>
    <row r="428">
      <c r="A428" s="1" t="n"/>
    </row>
    <row r="429">
      <c r="A429" s="1" t="n"/>
    </row>
    <row r="430">
      <c r="A430" s="1" t="n"/>
    </row>
    <row r="431">
      <c r="A431" s="1" t="n"/>
    </row>
    <row r="432">
      <c r="A432" s="1" t="n"/>
    </row>
    <row r="433">
      <c r="A433" s="1" t="n"/>
    </row>
    <row r="434">
      <c r="A434" s="1" t="n"/>
    </row>
    <row r="435">
      <c r="A435" s="1" t="n"/>
    </row>
    <row r="436">
      <c r="A436" s="1" t="n"/>
    </row>
    <row r="437">
      <c r="A437" s="1" t="n"/>
    </row>
    <row r="438">
      <c r="A438" s="1" t="n"/>
    </row>
    <row r="439">
      <c r="A439" s="1" t="n"/>
    </row>
    <row r="440">
      <c r="A440" s="1" t="n"/>
    </row>
    <row r="441">
      <c r="A441" s="1" t="n"/>
    </row>
    <row r="442">
      <c r="A442" s="1" t="n"/>
    </row>
    <row r="443">
      <c r="A443" s="1" t="n"/>
    </row>
    <row r="444">
      <c r="A444" s="1" t="n"/>
    </row>
    <row r="445">
      <c r="A445" s="1" t="n"/>
    </row>
    <row r="446">
      <c r="A446" s="1" t="n"/>
    </row>
    <row r="447">
      <c r="A447" s="1" t="n"/>
    </row>
    <row r="448">
      <c r="A448" s="1" t="n"/>
    </row>
    <row r="449">
      <c r="A449" s="1" t="n"/>
    </row>
    <row r="450">
      <c r="A450" s="1" t="n"/>
    </row>
    <row r="451">
      <c r="A451" s="1" t="n"/>
    </row>
    <row r="452">
      <c r="A452" s="1" t="n"/>
    </row>
    <row r="453">
      <c r="A453" s="1" t="n"/>
    </row>
    <row r="454">
      <c r="A454" s="1" t="n"/>
    </row>
    <row r="455">
      <c r="A455" s="1" t="n"/>
    </row>
    <row r="456">
      <c r="A456" s="1" t="n"/>
    </row>
    <row r="457">
      <c r="A457" s="1" t="n"/>
    </row>
    <row r="458">
      <c r="A458" s="1" t="n"/>
    </row>
    <row r="459">
      <c r="A459" s="1" t="n"/>
    </row>
    <row r="460">
      <c r="A460" s="1" t="n"/>
    </row>
    <row r="461">
      <c r="A461" s="1" t="n"/>
    </row>
    <row r="462">
      <c r="A462" s="1" t="n"/>
    </row>
    <row r="463">
      <c r="A463" s="1" t="n"/>
    </row>
    <row r="464">
      <c r="A464" s="1" t="n"/>
    </row>
    <row r="465">
      <c r="A465" s="1" t="n"/>
    </row>
    <row r="466">
      <c r="A466" s="1" t="n"/>
    </row>
    <row r="467">
      <c r="A467" s="1" t="n"/>
    </row>
    <row r="468">
      <c r="A468" s="1" t="n"/>
    </row>
    <row r="469">
      <c r="A469" s="1" t="n"/>
    </row>
    <row r="470">
      <c r="A470" s="1" t="n"/>
    </row>
    <row r="471">
      <c r="A471" s="1" t="n"/>
    </row>
    <row r="472">
      <c r="A472" s="1" t="n"/>
    </row>
    <row r="473">
      <c r="A473" s="1" t="n"/>
    </row>
    <row r="474">
      <c r="A474" s="1" t="n"/>
    </row>
    <row r="475">
      <c r="A475" s="1" t="n"/>
    </row>
    <row r="476">
      <c r="A476" s="1" t="n"/>
    </row>
    <row r="477">
      <c r="A477" s="1" t="n"/>
    </row>
    <row r="478">
      <c r="A478" s="1" t="n"/>
    </row>
    <row r="479">
      <c r="A479" s="1" t="n"/>
    </row>
    <row r="480">
      <c r="A480" s="1" t="n"/>
    </row>
    <row r="481">
      <c r="A481" s="1" t="n"/>
    </row>
    <row r="482">
      <c r="A482" s="1" t="n"/>
    </row>
    <row r="483">
      <c r="A483" s="1" t="n"/>
    </row>
    <row r="484">
      <c r="A484" s="1" t="n"/>
    </row>
    <row r="485">
      <c r="A485" s="1" t="n"/>
    </row>
    <row r="486">
      <c r="A486" s="1" t="n"/>
    </row>
    <row r="487">
      <c r="A487" s="1" t="n"/>
    </row>
    <row r="488">
      <c r="A488" s="1" t="n"/>
    </row>
    <row r="489">
      <c r="A489" s="1" t="n"/>
    </row>
    <row r="490">
      <c r="A490" s="1" t="n"/>
    </row>
    <row r="491">
      <c r="A491" s="1" t="n"/>
    </row>
    <row r="492">
      <c r="A492" s="1" t="n"/>
    </row>
    <row r="493">
      <c r="A493" s="1" t="n"/>
    </row>
    <row r="494">
      <c r="A494" s="1" t="n"/>
    </row>
    <row r="495">
      <c r="A495" s="1" t="n"/>
    </row>
    <row r="496">
      <c r="A496" s="1" t="n"/>
    </row>
    <row r="497">
      <c r="A497" s="1" t="n"/>
    </row>
    <row r="498">
      <c r="A498" s="1" t="n"/>
    </row>
    <row r="499">
      <c r="A499" s="1" t="n"/>
    </row>
    <row r="500">
      <c r="A500" s="1" t="n"/>
    </row>
    <row r="501">
      <c r="A501" s="1" t="n"/>
    </row>
    <row r="502">
      <c r="A502" s="1" t="n"/>
    </row>
    <row r="503">
      <c r="A503" s="1" t="n"/>
    </row>
    <row r="504">
      <c r="A504" s="1" t="n"/>
    </row>
    <row r="505">
      <c r="A505" s="1" t="n"/>
    </row>
    <row r="506">
      <c r="A506" s="1" t="n"/>
    </row>
    <row r="507">
      <c r="A507" s="1" t="n"/>
    </row>
    <row r="508">
      <c r="A508" s="1" t="n"/>
    </row>
    <row r="509">
      <c r="A509" s="1" t="n"/>
    </row>
    <row r="510">
      <c r="A510" s="1" t="n"/>
    </row>
    <row r="511">
      <c r="A511" s="1" t="n"/>
    </row>
    <row r="512">
      <c r="A512" s="1" t="n"/>
    </row>
    <row r="513">
      <c r="A513" s="1" t="n"/>
    </row>
    <row r="514">
      <c r="A514" s="1" t="n"/>
    </row>
    <row r="515">
      <c r="A515" s="1" t="n"/>
    </row>
    <row r="516">
      <c r="A516" s="1" t="n"/>
    </row>
    <row r="517">
      <c r="A517" s="1" t="n"/>
    </row>
    <row r="518">
      <c r="A518" s="1" t="n"/>
    </row>
    <row r="519">
      <c r="A519" s="1" t="n"/>
    </row>
    <row r="520">
      <c r="A520" s="1" t="n"/>
    </row>
    <row r="521">
      <c r="A521" s="1" t="n"/>
    </row>
    <row r="522">
      <c r="A522" s="1" t="n"/>
    </row>
    <row r="523">
      <c r="A523" s="1" t="n"/>
    </row>
    <row r="524">
      <c r="A524" s="1" t="n"/>
    </row>
    <row r="525">
      <c r="A525" s="1" t="n"/>
    </row>
    <row r="526">
      <c r="A526" s="1" t="n"/>
    </row>
    <row r="527">
      <c r="A527" s="1" t="n"/>
    </row>
    <row r="528">
      <c r="A528" s="1" t="n"/>
    </row>
    <row r="529">
      <c r="A529" s="1" t="n"/>
    </row>
    <row r="530">
      <c r="A530" s="1" t="n"/>
    </row>
    <row r="531">
      <c r="A531" s="1" t="n"/>
    </row>
    <row r="532">
      <c r="A532" s="1" t="n"/>
    </row>
    <row r="533">
      <c r="A533" s="1" t="n"/>
    </row>
    <row r="534">
      <c r="A534" s="1" t="n"/>
    </row>
    <row r="535">
      <c r="A535" s="1" t="n"/>
    </row>
    <row r="536">
      <c r="A536" s="1" t="n"/>
    </row>
    <row r="537">
      <c r="A537" s="1" t="n"/>
    </row>
    <row r="538">
      <c r="A538" s="1" t="n"/>
    </row>
    <row r="539">
      <c r="A539" s="1" t="n"/>
    </row>
    <row r="540">
      <c r="A540" s="1" t="n"/>
    </row>
    <row r="541">
      <c r="A541" s="1" t="n"/>
    </row>
    <row r="542">
      <c r="A542" s="1" t="n"/>
    </row>
    <row r="543">
      <c r="A543" s="1" t="n"/>
    </row>
    <row r="544">
      <c r="A544" s="1" t="n"/>
    </row>
    <row r="545">
      <c r="A545" s="1" t="n"/>
    </row>
    <row r="546">
      <c r="A546" s="1" t="n"/>
    </row>
    <row r="547">
      <c r="A547" s="1" t="n"/>
    </row>
    <row r="548">
      <c r="A548" s="1" t="n"/>
    </row>
    <row r="549">
      <c r="A549" s="1" t="n"/>
    </row>
    <row r="550">
      <c r="A550" s="1" t="n"/>
    </row>
    <row r="551">
      <c r="A551" s="1" t="n"/>
    </row>
    <row r="552">
      <c r="A552" s="1" t="n"/>
    </row>
    <row r="553">
      <c r="A553" s="1" t="n"/>
    </row>
    <row r="554">
      <c r="A554" s="1" t="n"/>
    </row>
    <row r="555">
      <c r="A555" s="1" t="n"/>
    </row>
    <row r="556">
      <c r="A556" s="1" t="n"/>
    </row>
    <row r="557">
      <c r="A557" s="1" t="n"/>
    </row>
    <row r="558">
      <c r="A558" s="1" t="n"/>
    </row>
    <row r="559">
      <c r="A559" s="1" t="n"/>
    </row>
    <row r="560">
      <c r="A560" s="1" t="n"/>
    </row>
    <row r="561">
      <c r="A561" s="1" t="n"/>
    </row>
    <row r="562">
      <c r="A562" s="1" t="n"/>
    </row>
    <row r="563">
      <c r="A563" s="1" t="n"/>
    </row>
    <row r="564">
      <c r="A564" s="1" t="n"/>
    </row>
    <row r="565">
      <c r="A565" s="1" t="n"/>
    </row>
    <row r="566">
      <c r="A566" s="1" t="n"/>
    </row>
    <row r="567">
      <c r="A567" s="1" t="n"/>
    </row>
    <row r="568">
      <c r="A568" s="1" t="n"/>
    </row>
    <row r="569">
      <c r="A569" s="1" t="n"/>
    </row>
    <row r="570">
      <c r="A570" s="1" t="n"/>
    </row>
    <row r="571">
      <c r="A571" s="1" t="n"/>
    </row>
    <row r="572">
      <c r="A572" s="1" t="n"/>
    </row>
    <row r="573">
      <c r="A573" s="1" t="n"/>
    </row>
    <row r="574">
      <c r="A574" s="1" t="n"/>
    </row>
    <row r="575">
      <c r="A575" s="1" t="n"/>
    </row>
    <row r="576">
      <c r="A576" s="1" t="n"/>
    </row>
    <row r="577">
      <c r="A577" s="1" t="n"/>
    </row>
    <row r="578">
      <c r="A578" s="1" t="n"/>
    </row>
    <row r="579">
      <c r="A579" s="1" t="n"/>
    </row>
    <row r="580">
      <c r="A580" s="1" t="n"/>
    </row>
    <row r="581">
      <c r="A581" s="1" t="n"/>
    </row>
    <row r="582">
      <c r="A582" s="1" t="n"/>
    </row>
    <row r="583">
      <c r="A583" s="1" t="n"/>
    </row>
    <row r="584">
      <c r="A584" s="1" t="n"/>
    </row>
    <row r="585">
      <c r="A585" s="1" t="n"/>
    </row>
    <row r="586">
      <c r="A586" s="1" t="n"/>
    </row>
    <row r="587">
      <c r="A587" s="1" t="n"/>
    </row>
    <row r="588">
      <c r="A588" s="1" t="n"/>
    </row>
    <row r="589">
      <c r="A589" s="1" t="n"/>
    </row>
    <row r="590">
      <c r="A590" s="1" t="n"/>
    </row>
    <row r="591">
      <c r="A591" s="1" t="n"/>
    </row>
    <row r="592">
      <c r="A592" s="1" t="n"/>
    </row>
    <row r="593">
      <c r="A593" s="1" t="n"/>
    </row>
    <row r="594">
      <c r="A594" s="1" t="n"/>
    </row>
    <row r="595">
      <c r="A595" s="1" t="n"/>
    </row>
    <row r="596">
      <c r="A596" s="1" t="n"/>
    </row>
    <row r="597">
      <c r="A597" s="1" t="n"/>
    </row>
    <row r="598">
      <c r="A598" s="1" t="n"/>
    </row>
    <row r="599">
      <c r="A599" s="1" t="n"/>
    </row>
    <row r="600">
      <c r="A600" s="1" t="n"/>
    </row>
    <row r="601">
      <c r="A601" s="1" t="n"/>
    </row>
    <row r="602">
      <c r="A602" s="1" t="n"/>
    </row>
    <row r="603">
      <c r="A603" s="1" t="n"/>
    </row>
    <row r="604">
      <c r="A604" s="1" t="n"/>
    </row>
    <row r="605">
      <c r="A605" s="1" t="n"/>
    </row>
    <row r="606">
      <c r="A606" s="1" t="n"/>
    </row>
    <row r="607">
      <c r="A607" s="1" t="n"/>
    </row>
    <row r="608">
      <c r="A608" s="1" t="n"/>
    </row>
    <row r="609">
      <c r="A609" s="1" t="n"/>
    </row>
    <row r="610">
      <c r="A610" s="1" t="n"/>
    </row>
    <row r="611">
      <c r="A611" s="1" t="n"/>
    </row>
    <row r="612">
      <c r="A612" s="1" t="n"/>
    </row>
    <row r="613">
      <c r="A613" s="1" t="n"/>
    </row>
    <row r="614">
      <c r="A614" s="1" t="n"/>
    </row>
    <row r="615">
      <c r="A615" s="1" t="n"/>
    </row>
    <row r="616">
      <c r="A616" s="1" t="n"/>
    </row>
    <row r="617">
      <c r="A617" s="1" t="n"/>
    </row>
    <row r="618">
      <c r="A618" s="1" t="n"/>
    </row>
    <row r="619">
      <c r="A619" s="1" t="n"/>
    </row>
    <row r="620">
      <c r="A620" s="1" t="n"/>
    </row>
    <row r="621">
      <c r="A621" s="1" t="n"/>
    </row>
    <row r="622">
      <c r="A622" s="1" t="n"/>
    </row>
    <row r="623">
      <c r="A623" s="1" t="n"/>
    </row>
    <row r="624">
      <c r="A624" s="1" t="n"/>
    </row>
    <row r="625">
      <c r="A625" s="1" t="n"/>
    </row>
    <row r="626">
      <c r="A626" s="1" t="n"/>
    </row>
    <row r="627">
      <c r="A627" s="1" t="n"/>
    </row>
    <row r="628">
      <c r="A628" s="1" t="n"/>
    </row>
    <row r="629">
      <c r="A629" s="1" t="n"/>
    </row>
    <row r="630">
      <c r="A630" s="1" t="n"/>
    </row>
    <row r="631">
      <c r="A631" s="1" t="n"/>
    </row>
    <row r="632">
      <c r="A632" s="1" t="n"/>
    </row>
    <row r="633">
      <c r="A633" s="1" t="n"/>
    </row>
    <row r="634">
      <c r="A634" s="1" t="n"/>
    </row>
    <row r="635">
      <c r="A635" s="1" t="n"/>
    </row>
    <row r="636">
      <c r="A636" s="1" t="n"/>
    </row>
    <row r="637">
      <c r="A637" s="1" t="n"/>
    </row>
    <row r="638">
      <c r="A638" s="1" t="n"/>
    </row>
    <row r="639">
      <c r="A639" s="1" t="n"/>
    </row>
    <row r="640">
      <c r="A640" s="1" t="n"/>
    </row>
    <row r="641">
      <c r="A641" s="1" t="n"/>
    </row>
    <row r="642">
      <c r="A642" s="1" t="n"/>
    </row>
    <row r="643">
      <c r="A643" s="1" t="n"/>
    </row>
    <row r="644">
      <c r="A644" s="1" t="n"/>
    </row>
    <row r="645">
      <c r="A645" s="1" t="n"/>
    </row>
    <row r="646">
      <c r="A646" s="1" t="n"/>
    </row>
    <row r="647">
      <c r="A647" s="1" t="n"/>
    </row>
    <row r="648">
      <c r="A648" s="1" t="n"/>
    </row>
    <row r="649">
      <c r="A649" s="1" t="n"/>
    </row>
    <row r="650">
      <c r="A650" s="1" t="n"/>
    </row>
    <row r="651">
      <c r="A651" s="1" t="n"/>
    </row>
    <row r="652">
      <c r="A652" s="1" t="n"/>
    </row>
    <row r="653">
      <c r="A653" s="1" t="n"/>
    </row>
    <row r="654">
      <c r="A654" s="1" t="n"/>
    </row>
    <row r="655">
      <c r="A655" s="1" t="n"/>
    </row>
    <row r="656">
      <c r="A656" s="1" t="n"/>
    </row>
    <row r="657">
      <c r="A657" s="1" t="n"/>
    </row>
    <row r="658">
      <c r="A658" s="1" t="n"/>
    </row>
    <row r="659">
      <c r="A659" s="1" t="n"/>
    </row>
    <row r="660">
      <c r="A660" s="1" t="n"/>
    </row>
    <row r="661">
      <c r="A661" s="1" t="n"/>
    </row>
    <row r="662">
      <c r="A662" s="1" t="n"/>
    </row>
    <row r="663">
      <c r="A663" s="1" t="n"/>
    </row>
    <row r="664">
      <c r="A664" s="1" t="n"/>
    </row>
    <row r="665">
      <c r="A665" s="1" t="n"/>
    </row>
    <row r="666">
      <c r="A666" s="1" t="n"/>
    </row>
    <row r="667">
      <c r="A667" s="1" t="n"/>
    </row>
    <row r="668">
      <c r="A668" s="1" t="n"/>
    </row>
    <row r="669">
      <c r="A669" s="1" t="n"/>
    </row>
    <row r="670">
      <c r="A670" s="1" t="n"/>
    </row>
    <row r="671">
      <c r="A671" s="1" t="n"/>
    </row>
    <row r="672">
      <c r="A672" s="1" t="n"/>
    </row>
    <row r="673">
      <c r="A673" s="1" t="n"/>
    </row>
    <row r="674">
      <c r="A674" s="1" t="n"/>
    </row>
    <row r="675">
      <c r="A675" s="1" t="n"/>
    </row>
    <row r="676">
      <c r="A676" s="1" t="n"/>
    </row>
    <row r="677">
      <c r="A677" s="1" t="n"/>
    </row>
    <row r="678">
      <c r="A678" s="1" t="n"/>
    </row>
    <row r="679">
      <c r="A679" s="1" t="n"/>
    </row>
    <row r="680">
      <c r="A680" s="1" t="n"/>
    </row>
    <row r="681">
      <c r="A681" s="1" t="n"/>
    </row>
    <row r="682">
      <c r="A682" s="1" t="n"/>
    </row>
    <row r="683">
      <c r="A683" s="1" t="n"/>
    </row>
    <row r="684">
      <c r="A684" s="1" t="n"/>
    </row>
    <row r="685">
      <c r="A685" s="1" t="n"/>
    </row>
    <row r="686">
      <c r="A686" s="1" t="n"/>
    </row>
    <row r="687">
      <c r="A687" s="1" t="n"/>
    </row>
    <row r="688">
      <c r="A688" s="1" t="n"/>
    </row>
    <row r="689">
      <c r="A689" s="1" t="n"/>
    </row>
    <row r="690">
      <c r="A690" s="1" t="n"/>
    </row>
    <row r="691">
      <c r="A691" s="1" t="n"/>
    </row>
    <row r="692">
      <c r="A692" s="1" t="n"/>
    </row>
    <row r="693">
      <c r="A693" s="1" t="n"/>
    </row>
    <row r="694">
      <c r="A694" s="1" t="n"/>
    </row>
    <row r="695">
      <c r="A695" s="1" t="n"/>
    </row>
    <row r="696">
      <c r="A696" s="1" t="n"/>
    </row>
    <row r="697">
      <c r="A697" s="1" t="n"/>
    </row>
    <row r="698">
      <c r="A698" s="1" t="n"/>
    </row>
    <row r="699">
      <c r="A699" s="1" t="n"/>
    </row>
    <row r="700">
      <c r="A700" s="1" t="n"/>
    </row>
    <row r="701">
      <c r="A701" s="1" t="n"/>
    </row>
    <row r="702">
      <c r="A702" s="1" t="n"/>
    </row>
    <row r="703">
      <c r="A703" s="1" t="n"/>
    </row>
    <row r="704">
      <c r="A704" s="1" t="n"/>
    </row>
    <row r="705">
      <c r="A705" s="1" t="n"/>
    </row>
    <row r="706">
      <c r="A706" s="1" t="n"/>
    </row>
    <row r="707">
      <c r="A707" s="1" t="n"/>
    </row>
    <row r="708">
      <c r="A708" s="1" t="n"/>
    </row>
    <row r="709">
      <c r="A709" s="1" t="n"/>
    </row>
    <row r="710">
      <c r="A710" s="1" t="n"/>
    </row>
    <row r="711">
      <c r="A711" s="1" t="n"/>
    </row>
    <row r="712">
      <c r="A712" s="1" t="n"/>
    </row>
    <row r="713">
      <c r="A713" s="1" t="n"/>
    </row>
    <row r="714">
      <c r="A714" s="1" t="n"/>
    </row>
    <row r="715">
      <c r="A715" s="1" t="n"/>
    </row>
    <row r="716">
      <c r="A716" s="1" t="n"/>
    </row>
    <row r="717">
      <c r="A717" s="1" t="n"/>
    </row>
    <row r="718">
      <c r="A718" s="1" t="n"/>
    </row>
    <row r="719">
      <c r="A719" s="1" t="n"/>
    </row>
    <row r="720">
      <c r="A720" s="1" t="n"/>
    </row>
    <row r="721">
      <c r="A721" s="1" t="n"/>
    </row>
    <row r="722">
      <c r="A722" s="1" t="n"/>
    </row>
    <row r="723">
      <c r="A723" s="1" t="n"/>
    </row>
    <row r="724">
      <c r="A724" s="1" t="n"/>
    </row>
    <row r="725">
      <c r="A725" s="1" t="n"/>
    </row>
    <row r="726">
      <c r="A726" s="1" t="n"/>
    </row>
    <row r="727">
      <c r="A727" s="1" t="n"/>
    </row>
    <row r="728">
      <c r="A728" s="1" t="n"/>
    </row>
    <row r="729">
      <c r="A729" s="1" t="n"/>
    </row>
    <row r="730">
      <c r="A730" s="1" t="n"/>
    </row>
    <row r="731">
      <c r="A731" s="1" t="n"/>
    </row>
    <row r="732">
      <c r="A732" s="1" t="n"/>
    </row>
    <row r="733">
      <c r="A733" s="1" t="n"/>
    </row>
    <row r="734">
      <c r="A734" s="1" t="n"/>
    </row>
    <row r="735">
      <c r="A735" s="1" t="n"/>
    </row>
    <row r="736">
      <c r="A736" s="1" t="n"/>
    </row>
    <row r="737">
      <c r="A737" s="1" t="n"/>
    </row>
    <row r="738">
      <c r="A738" s="1" t="n"/>
    </row>
    <row r="739">
      <c r="A739" s="1" t="n"/>
    </row>
    <row r="740">
      <c r="A740" s="1" t="n"/>
    </row>
    <row r="741">
      <c r="A741" s="1" t="n"/>
    </row>
    <row r="742">
      <c r="A742" s="1" t="n"/>
    </row>
    <row r="743">
      <c r="A743" s="1" t="n"/>
    </row>
    <row r="744">
      <c r="A744" s="1" t="n"/>
    </row>
    <row r="745">
      <c r="A745" s="1" t="n"/>
    </row>
    <row r="746">
      <c r="A746" s="1" t="n"/>
    </row>
    <row r="747">
      <c r="A747" s="1" t="n"/>
    </row>
    <row r="748">
      <c r="A748" s="1" t="n"/>
    </row>
    <row r="749">
      <c r="A749" s="1" t="n"/>
    </row>
    <row r="750">
      <c r="A750" s="1" t="n"/>
    </row>
    <row r="751">
      <c r="A751" s="1" t="n"/>
    </row>
    <row r="752">
      <c r="A752" s="1" t="n"/>
    </row>
    <row r="753">
      <c r="A753" s="1" t="n"/>
    </row>
    <row r="754">
      <c r="A754" s="1" t="n"/>
    </row>
    <row r="755">
      <c r="A755" s="1" t="n"/>
    </row>
    <row r="756">
      <c r="A756" s="1" t="n"/>
    </row>
    <row r="757">
      <c r="A757" s="1" t="n"/>
    </row>
    <row r="758">
      <c r="A758" s="1" t="n"/>
    </row>
    <row r="759">
      <c r="A759" s="1" t="n"/>
    </row>
    <row r="760">
      <c r="A760" s="1" t="n"/>
    </row>
    <row r="761">
      <c r="A761" s="1" t="n"/>
    </row>
    <row r="762">
      <c r="A762" s="1" t="n"/>
    </row>
    <row r="763">
      <c r="A763" s="1" t="n"/>
    </row>
    <row r="764">
      <c r="A764" s="1" t="n"/>
    </row>
    <row r="765">
      <c r="A765" s="1" t="n"/>
    </row>
    <row r="766">
      <c r="A766" s="1" t="n"/>
    </row>
    <row r="767">
      <c r="A767" s="1" t="n"/>
    </row>
    <row r="768">
      <c r="A768" s="1" t="n"/>
    </row>
    <row r="769">
      <c r="A769" s="1" t="n"/>
    </row>
    <row r="770">
      <c r="A770" s="1" t="n"/>
    </row>
    <row r="771">
      <c r="A771" s="1" t="n"/>
    </row>
    <row r="772">
      <c r="A772" s="1" t="n"/>
    </row>
    <row r="773">
      <c r="A773" s="1" t="n"/>
    </row>
    <row r="774">
      <c r="A774" s="1" t="n"/>
    </row>
    <row r="775">
      <c r="A775" s="1" t="n"/>
    </row>
    <row r="776">
      <c r="A776" s="1" t="n"/>
    </row>
    <row r="777">
      <c r="A777" s="1" t="n"/>
    </row>
    <row r="778">
      <c r="A778" s="1" t="n"/>
    </row>
    <row r="779">
      <c r="A779" s="1" t="n"/>
    </row>
    <row r="780">
      <c r="A780" s="1" t="n"/>
    </row>
    <row r="781">
      <c r="A781" s="1" t="n"/>
    </row>
    <row r="782">
      <c r="A782" s="1" t="n"/>
    </row>
    <row r="783">
      <c r="A783" s="1" t="n"/>
    </row>
    <row r="784">
      <c r="A784" s="1" t="n"/>
    </row>
    <row r="785">
      <c r="A785" s="1" t="n"/>
    </row>
    <row r="786">
      <c r="A786" s="1" t="n"/>
    </row>
    <row r="787">
      <c r="A787" s="1" t="n"/>
    </row>
    <row r="788">
      <c r="A788" s="1" t="n"/>
    </row>
    <row r="789">
      <c r="A789" s="1" t="n"/>
    </row>
    <row r="790">
      <c r="A790" s="1" t="n"/>
    </row>
    <row r="791">
      <c r="A791" s="1" t="n"/>
    </row>
    <row r="792">
      <c r="A792" s="1" t="n"/>
    </row>
    <row r="793">
      <c r="A793" s="1" t="n"/>
    </row>
    <row r="794">
      <c r="A794" s="1" t="n"/>
    </row>
    <row r="795">
      <c r="A795" s="1" t="n"/>
    </row>
    <row r="796">
      <c r="A796" s="1" t="n"/>
    </row>
    <row r="797">
      <c r="A797" s="1" t="n"/>
    </row>
    <row r="798">
      <c r="A798" s="1" t="n"/>
    </row>
    <row r="799">
      <c r="A799" s="1" t="n"/>
    </row>
    <row r="800">
      <c r="A800" s="1" t="n"/>
    </row>
    <row r="801">
      <c r="A801" s="1" t="n"/>
    </row>
    <row r="802">
      <c r="A802" s="1" t="n"/>
    </row>
    <row r="803">
      <c r="A803" s="1" t="n"/>
    </row>
    <row r="804">
      <c r="A804" s="1" t="n"/>
    </row>
    <row r="805">
      <c r="A805" s="1" t="n"/>
    </row>
    <row r="806">
      <c r="A806" s="1" t="n"/>
    </row>
    <row r="807">
      <c r="A807" s="1" t="n"/>
    </row>
    <row r="808">
      <c r="A808" s="1" t="n"/>
    </row>
    <row r="809">
      <c r="A809" s="1" t="n"/>
    </row>
    <row r="810">
      <c r="A810" s="1" t="n"/>
    </row>
    <row r="811">
      <c r="A811" s="1" t="n"/>
    </row>
    <row r="812">
      <c r="A812" s="1" t="n"/>
    </row>
    <row r="813">
      <c r="A813" s="1" t="n"/>
    </row>
    <row r="814">
      <c r="A814" s="1" t="n"/>
    </row>
    <row r="815">
      <c r="A815" s="1" t="n"/>
    </row>
    <row r="816">
      <c r="A816" s="1" t="n"/>
    </row>
    <row r="817">
      <c r="A817" s="1" t="n"/>
    </row>
    <row r="818">
      <c r="A818" s="1" t="n"/>
    </row>
    <row r="819">
      <c r="A819" s="1" t="n"/>
    </row>
    <row r="820">
      <c r="A820" s="1" t="n"/>
    </row>
    <row r="821">
      <c r="A821" s="1" t="n"/>
    </row>
    <row r="822">
      <c r="A822" s="1" t="n"/>
    </row>
    <row r="823">
      <c r="A823" s="1" t="n"/>
    </row>
    <row r="824">
      <c r="A824" s="1" t="n"/>
    </row>
    <row r="825">
      <c r="A825" s="1" t="n"/>
    </row>
    <row r="826">
      <c r="A826" s="1" t="n"/>
    </row>
    <row r="827">
      <c r="A827" s="1" t="n"/>
    </row>
    <row r="828">
      <c r="A828" s="1" t="n"/>
    </row>
    <row r="829">
      <c r="A829" s="1" t="n"/>
    </row>
    <row r="830">
      <c r="A830" s="1" t="n"/>
    </row>
    <row r="831">
      <c r="A831" s="1" t="n"/>
    </row>
    <row r="832">
      <c r="A832" s="1" t="n"/>
    </row>
    <row r="833">
      <c r="A833" s="1" t="n"/>
    </row>
    <row r="834">
      <c r="A834" s="1" t="n"/>
    </row>
    <row r="835">
      <c r="A835" s="1" t="n"/>
    </row>
    <row r="836">
      <c r="A836" s="1" t="n"/>
    </row>
    <row r="837">
      <c r="A837" s="1" t="n"/>
    </row>
    <row r="838">
      <c r="A838" s="1" t="n"/>
    </row>
    <row r="839">
      <c r="A839" s="1" t="n"/>
    </row>
    <row r="840">
      <c r="A840" s="1" t="n"/>
    </row>
    <row r="841">
      <c r="A841" s="1" t="n"/>
    </row>
    <row r="842">
      <c r="A842" s="1" t="n"/>
    </row>
    <row r="843">
      <c r="A843" s="1" t="n"/>
    </row>
    <row r="844">
      <c r="A844" s="1" t="n"/>
    </row>
    <row r="845">
      <c r="A845" s="1" t="n"/>
    </row>
    <row r="846">
      <c r="A846" s="1" t="n"/>
    </row>
    <row r="847">
      <c r="A847" s="1" t="n"/>
    </row>
    <row r="848">
      <c r="A848" s="1" t="n"/>
    </row>
    <row r="849">
      <c r="A849" s="1" t="n"/>
    </row>
    <row r="850">
      <c r="A850" s="1" t="n"/>
    </row>
    <row r="851">
      <c r="A851" s="1" t="n"/>
    </row>
    <row r="852">
      <c r="A852" s="1" t="n"/>
    </row>
    <row r="853">
      <c r="A853" s="1" t="n"/>
    </row>
    <row r="854">
      <c r="A854" s="1" t="n"/>
    </row>
    <row r="855">
      <c r="A855" s="1" t="n"/>
    </row>
    <row r="856">
      <c r="A856" s="1" t="n"/>
    </row>
    <row r="857">
      <c r="A857" s="1" t="n"/>
    </row>
    <row r="858">
      <c r="A858" s="1" t="n"/>
    </row>
    <row r="859">
      <c r="A859" s="1" t="n"/>
    </row>
    <row r="860">
      <c r="A860" s="1" t="n"/>
    </row>
    <row r="861">
      <c r="A861" s="1" t="n"/>
    </row>
    <row r="862">
      <c r="A862" s="1" t="n"/>
    </row>
    <row r="863">
      <c r="A863" s="1" t="n"/>
    </row>
    <row r="864">
      <c r="A864" s="1" t="n"/>
    </row>
    <row r="865">
      <c r="A865" s="1" t="n"/>
    </row>
    <row r="866">
      <c r="A866" s="1" t="n"/>
    </row>
    <row r="867">
      <c r="A867" s="1" t="n"/>
    </row>
    <row r="868">
      <c r="A868" s="1" t="n"/>
    </row>
    <row r="869">
      <c r="A869" s="1" t="n"/>
    </row>
    <row r="870">
      <c r="A870" s="1" t="n"/>
    </row>
    <row r="871">
      <c r="A871" s="1" t="n"/>
    </row>
    <row r="872">
      <c r="A872" s="1" t="n"/>
    </row>
    <row r="873">
      <c r="A873" s="1" t="n"/>
    </row>
    <row r="874">
      <c r="A874" s="1" t="n"/>
    </row>
    <row r="875">
      <c r="A875" s="1" t="n"/>
    </row>
    <row r="876">
      <c r="A876" s="1" t="n"/>
    </row>
    <row r="877">
      <c r="A877" s="1" t="n"/>
    </row>
    <row r="878">
      <c r="A878" s="1" t="n"/>
    </row>
    <row r="879">
      <c r="A879" s="1" t="n"/>
    </row>
    <row r="880">
      <c r="A880" s="1" t="n"/>
    </row>
    <row r="881">
      <c r="A881" s="1" t="n"/>
    </row>
    <row r="882">
      <c r="A882" s="1" t="n"/>
    </row>
    <row r="883">
      <c r="A883" s="1" t="n"/>
    </row>
    <row r="884">
      <c r="A884" s="1" t="n"/>
    </row>
    <row r="885">
      <c r="A885" s="1" t="n"/>
    </row>
    <row r="886">
      <c r="A886" s="1" t="n"/>
    </row>
    <row r="887">
      <c r="A887" s="1" t="n"/>
    </row>
    <row r="888">
      <c r="A888" s="1" t="n"/>
    </row>
    <row r="889">
      <c r="A889" s="1" t="n"/>
    </row>
    <row r="890">
      <c r="A890" s="1" t="n"/>
    </row>
    <row r="891">
      <c r="A891" s="1" t="n"/>
    </row>
    <row r="892">
      <c r="A892" s="1" t="n"/>
    </row>
    <row r="893">
      <c r="A893" s="1" t="n"/>
    </row>
    <row r="894">
      <c r="A894" s="1" t="n"/>
    </row>
    <row r="895">
      <c r="A895" s="1" t="n"/>
    </row>
    <row r="896">
      <c r="A896" s="1" t="n"/>
    </row>
    <row r="897">
      <c r="A897" s="1" t="n"/>
    </row>
    <row r="898">
      <c r="A898" s="1" t="n"/>
    </row>
    <row r="899">
      <c r="A899" s="1" t="n"/>
    </row>
    <row r="900">
      <c r="A900" s="1" t="n"/>
    </row>
    <row r="901">
      <c r="A901" s="1" t="n"/>
    </row>
    <row r="902">
      <c r="A902" s="1" t="n"/>
    </row>
    <row r="903">
      <c r="A903" s="1" t="n"/>
    </row>
    <row r="904">
      <c r="A904" s="1" t="n"/>
    </row>
    <row r="905">
      <c r="A905" s="1" t="n"/>
    </row>
    <row r="906">
      <c r="A906" s="1" t="n"/>
    </row>
    <row r="907">
      <c r="A907" s="1" t="n"/>
    </row>
    <row r="908">
      <c r="A908" s="1" t="n"/>
    </row>
    <row r="909">
      <c r="A909" s="1" t="n"/>
    </row>
    <row r="910">
      <c r="A910" s="1" t="n"/>
    </row>
    <row r="911">
      <c r="A911" s="1" t="n"/>
    </row>
    <row r="912">
      <c r="A912" s="1" t="n"/>
    </row>
    <row r="913">
      <c r="A913" s="1" t="n"/>
    </row>
    <row r="914">
      <c r="A914" s="1" t="n"/>
    </row>
    <row r="915">
      <c r="A915" s="1" t="n"/>
    </row>
    <row r="916">
      <c r="A916" s="1" t="n"/>
    </row>
    <row r="917">
      <c r="A917" s="1" t="n"/>
    </row>
    <row r="918">
      <c r="A918" s="1" t="n"/>
    </row>
    <row r="919">
      <c r="A919" s="1" t="n"/>
    </row>
    <row r="920">
      <c r="A920" s="1" t="n"/>
    </row>
    <row r="921">
      <c r="A921" s="1" t="n"/>
    </row>
    <row r="922">
      <c r="A922" s="1" t="n"/>
    </row>
    <row r="923">
      <c r="A923" s="1" t="n"/>
    </row>
    <row r="924">
      <c r="A924" s="1" t="n"/>
    </row>
    <row r="925">
      <c r="A925" s="1" t="n"/>
    </row>
    <row r="926">
      <c r="A926" s="1" t="n"/>
    </row>
    <row r="927">
      <c r="A927" s="1" t="n"/>
    </row>
    <row r="928">
      <c r="A928" s="1" t="n"/>
    </row>
    <row r="929">
      <c r="A929" s="1" t="n"/>
    </row>
    <row r="930">
      <c r="A930" s="1" t="n"/>
    </row>
    <row r="931">
      <c r="A931" s="1" t="n"/>
    </row>
    <row r="932">
      <c r="A932" s="1" t="n"/>
    </row>
    <row r="933">
      <c r="A933" s="1" t="n"/>
    </row>
    <row r="934">
      <c r="A934" s="1" t="n"/>
    </row>
    <row r="935">
      <c r="A935" s="1" t="n"/>
    </row>
    <row r="936">
      <c r="A936" s="1" t="n"/>
    </row>
    <row r="937">
      <c r="A937" s="1" t="n"/>
    </row>
    <row r="938">
      <c r="A938" s="1" t="n"/>
    </row>
    <row r="939">
      <c r="A939" s="1" t="n"/>
    </row>
    <row r="940">
      <c r="A940" s="1" t="n"/>
    </row>
    <row r="941">
      <c r="A941" s="1" t="n"/>
    </row>
    <row r="942">
      <c r="A942" s="1" t="n"/>
    </row>
    <row r="943">
      <c r="A943" s="1" t="n"/>
    </row>
    <row r="944">
      <c r="A944" s="1" t="n"/>
    </row>
    <row r="945">
      <c r="A945" s="1" t="n"/>
    </row>
    <row r="946">
      <c r="A946" s="1" t="n"/>
    </row>
    <row r="947">
      <c r="A947" s="1" t="n"/>
    </row>
    <row r="948">
      <c r="A948" s="1" t="n"/>
    </row>
    <row r="949">
      <c r="A949" s="1" t="n"/>
    </row>
    <row r="950">
      <c r="A950" s="1" t="n"/>
    </row>
    <row r="951">
      <c r="A951" s="1" t="n"/>
    </row>
    <row r="952">
      <c r="A952" s="1" t="n"/>
    </row>
    <row r="953">
      <c r="A953" s="1" t="n"/>
    </row>
    <row r="954">
      <c r="A954" s="1" t="n"/>
    </row>
    <row r="955">
      <c r="A955" s="1" t="n"/>
    </row>
    <row r="956">
      <c r="A956" s="1" t="n"/>
    </row>
    <row r="957">
      <c r="A957" s="1" t="n"/>
    </row>
    <row r="958">
      <c r="A958" s="1" t="n"/>
    </row>
    <row r="959">
      <c r="A959" s="1" t="n"/>
    </row>
    <row r="960">
      <c r="A960" s="1" t="n"/>
    </row>
    <row r="961">
      <c r="A961" s="1" t="n"/>
    </row>
    <row r="962">
      <c r="A962" s="1" t="n"/>
    </row>
    <row r="963">
      <c r="A963" s="1" t="n"/>
    </row>
    <row r="964">
      <c r="A964" s="1" t="n"/>
    </row>
    <row r="965">
      <c r="A965" s="1" t="n"/>
    </row>
    <row r="966">
      <c r="A966" s="1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"/>
  <sheetViews>
    <sheetView topLeftCell="A6" zoomScaleNormal="100" zoomScaleSheetLayoutView="100" workbookViewId="0">
      <selection activeCell="B17" sqref="B17"/>
    </sheetView>
  </sheetViews>
  <sheetFormatPr baseColWidth="8" defaultRowHeight="14.25"/>
  <cols>
    <col width="10.73046875" bestFit="1" customWidth="1" min="1" max="1"/>
    <col width="9.53125" bestFit="1" customWidth="1" min="2" max="2"/>
    <col width="9.3984375" customWidth="1" min="3" max="3"/>
    <col width="17.59765625" customWidth="1" min="5" max="5"/>
    <col width="12.265625" customWidth="1" min="6" max="6"/>
    <col width="13.46484375" customWidth="1" min="7" max="7"/>
  </cols>
  <sheetData>
    <row r="1">
      <c r="A1" s="22" t="inlineStr">
        <is>
          <t>Date</t>
        </is>
      </c>
      <c r="B1" s="22" t="inlineStr">
        <is>
          <t>Amount</t>
        </is>
      </c>
      <c r="C1" s="22" t="inlineStr">
        <is>
          <t>Spender</t>
        </is>
      </c>
      <c r="D1" s="23" t="inlineStr">
        <is>
          <t>Remark</t>
        </is>
      </c>
      <c r="E1" s="22" t="inlineStr">
        <is>
          <t>My Actual Balance</t>
        </is>
      </c>
      <c r="F1" s="22" t="inlineStr">
        <is>
          <t>MV Balance</t>
        </is>
      </c>
      <c r="G1" s="22" t="inlineStr">
        <is>
          <t>Bank Balance</t>
        </is>
      </c>
    </row>
    <row r="2">
      <c r="A2" s="8" t="n">
        <v>46017</v>
      </c>
      <c r="B2" s="24" t="n">
        <v>-200</v>
      </c>
      <c r="C2" s="9" t="inlineStr">
        <is>
          <t>YEONG</t>
        </is>
      </c>
      <c r="D2" s="25" t="n"/>
      <c r="E2" s="26" t="n">
        <v>200</v>
      </c>
      <c r="F2" s="26" t="n">
        <v>0</v>
      </c>
      <c r="G2" s="26" t="n">
        <v>200</v>
      </c>
    </row>
    <row r="3">
      <c r="A3" s="8" t="n">
        <v>46017</v>
      </c>
      <c r="B3" s="24" t="n">
        <v>30</v>
      </c>
      <c r="C3" s="9" t="inlineStr">
        <is>
          <t>YEONG</t>
        </is>
      </c>
      <c r="D3" s="25" t="n"/>
      <c r="E3" s="26">
        <f>IF(Table3[[#This Row],[Spender]]="YEONG",OFFSET(Table3[[#This Row],[My Actual Balance]],-1,0)-Table3[[#This Row],[Amount]],OFFSET(Table3[[#This Row],[My Actual Balance]],-1,0))</f>
        <v/>
      </c>
      <c r="F3" s="26">
        <f>IF(Table3[[#This Row],[Spender]]="MV",OFFSET(Table3[[#This Row],[MV Balance]],-1,0)-Table3[[#This Row],[Amount]],OFFSET(Table3[[#This Row],[MV Balance]],-1,0))</f>
        <v/>
      </c>
      <c r="G3" s="26">
        <f>SUM(E3:F3)</f>
        <v/>
      </c>
    </row>
    <row r="4">
      <c r="A4" s="8" t="n">
        <v>46018</v>
      </c>
      <c r="B4" t="n">
        <v>-300</v>
      </c>
      <c r="C4" s="9" t="inlineStr">
        <is>
          <t>YEONG</t>
        </is>
      </c>
      <c r="D4" s="3" t="n"/>
      <c r="E4" s="27">
        <f>IF(Table3[[#This Row],[Spender]]="YEONG",OFFSET(Table3[[#This Row],[My Actual Balance]],-1,0)-Table3[[#This Row],[Amount]],OFFSET(Table3[[#This Row],[My Actual Balance]],-1,0))</f>
        <v/>
      </c>
      <c r="F4" s="27">
        <f>IF(Table3[[#This Row],[Spender]]="MV",OFFSET(Table3[[#This Row],[MV Balance]],-1,0)-Table3[[#This Row],[Amount]],OFFSET(Table3[[#This Row],[MV Balance]],-1,0))</f>
        <v/>
      </c>
      <c r="G4">
        <f>SUM(E4:F4)</f>
        <v/>
      </c>
    </row>
    <row r="5">
      <c r="A5" s="8" t="n">
        <v>46018</v>
      </c>
      <c r="B5" t="n">
        <v>26.24</v>
      </c>
      <c r="C5" s="9" t="inlineStr">
        <is>
          <t>YEONG</t>
        </is>
      </c>
      <c r="D5" s="3" t="n"/>
      <c r="E5" s="27">
        <f>IF(Table3[[#This Row],[Spender]]="YEONG",OFFSET(Table3[[#This Row],[My Actual Balance]],-1,0)-Table3[[#This Row],[Amount]],OFFSET(Table3[[#This Row],[My Actual Balance]],-1,0))</f>
        <v/>
      </c>
      <c r="F5" s="27">
        <f>IF(Table3[[#This Row],[Spender]]="MV",OFFSET(Table3[[#This Row],[MV Balance]],-1,0)-Table3[[#This Row],[Amount]],OFFSET(Table3[[#This Row],[MV Balance]],-1,0))</f>
        <v/>
      </c>
      <c r="G5">
        <f>SUM(E5:F5)</f>
        <v/>
      </c>
    </row>
    <row r="6">
      <c r="A6" s="8" t="n">
        <v>46018</v>
      </c>
      <c r="B6" t="n">
        <v>35</v>
      </c>
      <c r="C6" s="9" t="inlineStr">
        <is>
          <t>YEONG</t>
        </is>
      </c>
      <c r="D6" s="3" t="n"/>
      <c r="E6" s="27">
        <f>IF(Table3[[#This Row],[Spender]]="YEONG",OFFSET(Table3[[#This Row],[My Actual Balance]],-1,0)-Table3[[#This Row],[Amount]],OFFSET(Table3[[#This Row],[My Actual Balance]],-1,0))</f>
        <v/>
      </c>
      <c r="F6" s="27">
        <f>IF(Table3[[#This Row],[Spender]]="MV",OFFSET(Table3[[#This Row],[MV Balance]],-1,0)-Table3[[#This Row],[Amount]],OFFSET(Table3[[#This Row],[MV Balance]],-1,0))</f>
        <v/>
      </c>
      <c r="G6">
        <f>SUM(E6:F6)</f>
        <v/>
      </c>
    </row>
    <row r="7">
      <c r="A7" s="8" t="n">
        <v>46018</v>
      </c>
      <c r="B7" t="n">
        <v>14.04</v>
      </c>
      <c r="C7" s="9" t="inlineStr">
        <is>
          <t>YEONG</t>
        </is>
      </c>
      <c r="D7" s="3" t="n"/>
      <c r="E7" s="27">
        <f>IF(Table3[[#This Row],[Spender]]="YEONG",OFFSET(Table3[[#This Row],[My Actual Balance]],-1,0)-Table3[[#This Row],[Amount]],OFFSET(Table3[[#This Row],[My Actual Balance]],-1,0))</f>
        <v/>
      </c>
      <c r="F7" s="27">
        <f>IF(Table3[[#This Row],[Spender]]="MV",OFFSET(Table3[[#This Row],[MV Balance]],-1,0)-Table3[[#This Row],[Amount]],OFFSET(Table3[[#This Row],[MV Balance]],-1,0))</f>
        <v/>
      </c>
      <c r="G7">
        <f>SUM(E7:F7)</f>
        <v/>
      </c>
    </row>
    <row r="8">
      <c r="A8" s="8" t="n">
        <v>46018</v>
      </c>
      <c r="B8" t="n">
        <v>38.9</v>
      </c>
      <c r="C8" s="9" t="inlineStr">
        <is>
          <t>YEONG</t>
        </is>
      </c>
      <c r="D8" s="3" t="n"/>
      <c r="E8" s="27">
        <f>IF(Table3[[#This Row],[Spender]]="YEONG",OFFSET(Table3[[#This Row],[My Actual Balance]],-1,0)-Table3[[#This Row],[Amount]],OFFSET(Table3[[#This Row],[My Actual Balance]],-1,0))</f>
        <v/>
      </c>
      <c r="F8" s="27">
        <f>IF(Table3[[#This Row],[Spender]]="MV",OFFSET(Table3[[#This Row],[MV Balance]],-1,0)-Table3[[#This Row],[Amount]],OFFSET(Table3[[#This Row],[MV Balance]],-1,0))</f>
        <v/>
      </c>
      <c r="G8">
        <f>SUM(E8:F8)</f>
        <v/>
      </c>
    </row>
    <row r="9">
      <c r="A9" s="8" t="n">
        <v>45662</v>
      </c>
      <c r="B9" t="n">
        <v>22.2</v>
      </c>
      <c r="C9" s="9" t="inlineStr">
        <is>
          <t>YEONG</t>
        </is>
      </c>
      <c r="D9" s="3" t="n"/>
      <c r="E9" s="27">
        <f>IF(Table3[[#This Row],[Spender]]="YEONG",OFFSET(Table3[[#This Row],[My Actual Balance]],-1,0)-Table3[[#This Row],[Amount]],OFFSET(Table3[[#This Row],[My Actual Balance]],-1,0))</f>
        <v/>
      </c>
      <c r="F9" s="27">
        <f>IF(Table3[[#This Row],[Spender]]="MV",OFFSET(Table3[[#This Row],[MV Balance]],-1,0)-Table3[[#This Row],[Amount]],OFFSET(Table3[[#This Row],[MV Balance]],-1,0))</f>
        <v/>
      </c>
      <c r="G9">
        <f>SUM(E9:F9)</f>
        <v/>
      </c>
    </row>
    <row r="10">
      <c r="A10" s="1" t="n">
        <v>46029</v>
      </c>
      <c r="B10" t="n">
        <v>46.87</v>
      </c>
      <c r="C10" s="9" t="inlineStr">
        <is>
          <t>YEONG</t>
        </is>
      </c>
      <c r="D10" s="3" t="n"/>
      <c r="E10" s="27">
        <f>IF(Table3[[#This Row],[Spender]]="YEONG",OFFSET(Table3[[#This Row],[My Actual Balance]],-1,0)-Table3[[#This Row],[Amount]],OFFSET(Table3[[#This Row],[My Actual Balance]],-1,0))</f>
        <v/>
      </c>
      <c r="F10" s="27">
        <f>IF(Table3[[#This Row],[Spender]]="MV",OFFSET(Table3[[#This Row],[MV Balance]],-1,0)-Table3[[#This Row],[Amount]],OFFSET(Table3[[#This Row],[MV Balance]],-1,0))</f>
        <v/>
      </c>
      <c r="G10">
        <f>SUM(E10:F10)</f>
        <v/>
      </c>
    </row>
    <row r="11">
      <c r="A11" s="1" t="n">
        <v>46029</v>
      </c>
      <c r="B11" t="n">
        <v>25.8</v>
      </c>
      <c r="C11" s="9" t="inlineStr">
        <is>
          <t>YEONG</t>
        </is>
      </c>
      <c r="D11" s="3" t="n"/>
      <c r="E11" s="27">
        <f>IF(Table3[[#This Row],[Spender]]="YEONG",OFFSET(Table3[[#This Row],[My Actual Balance]],-1,0)-Table3[[#This Row],[Amount]],OFFSET(Table3[[#This Row],[My Actual Balance]],-1,0))</f>
        <v/>
      </c>
      <c r="F11" s="27">
        <f>IF(Table3[[#This Row],[Spender]]="MV",OFFSET(Table3[[#This Row],[MV Balance]],-1,0)-Table3[[#This Row],[Amount]],OFFSET(Table3[[#This Row],[MV Balance]],-1,0))</f>
        <v/>
      </c>
      <c r="G11">
        <f>SUM(E11:F11)</f>
        <v/>
      </c>
    </row>
    <row r="12">
      <c r="A12" s="1" t="n">
        <v>46029</v>
      </c>
      <c r="B12" t="n">
        <v>27.7</v>
      </c>
      <c r="C12" s="9" t="inlineStr">
        <is>
          <t>YEONG</t>
        </is>
      </c>
      <c r="D12" s="3" t="n"/>
      <c r="E12" s="27">
        <f>IF(Table3[[#This Row],[Spender]]="YEONG",OFFSET(Table3[[#This Row],[My Actual Balance]],-1,0)-Table3[[#This Row],[Amount]],OFFSET(Table3[[#This Row],[My Actual Balance]],-1,0))</f>
        <v/>
      </c>
      <c r="F12" s="27">
        <f>IF(Table3[[#This Row],[Spender]]="MV",OFFSET(Table3[[#This Row],[MV Balance]],-1,0)-Table3[[#This Row],[Amount]],OFFSET(Table3[[#This Row],[MV Balance]],-1,0))</f>
        <v/>
      </c>
      <c r="G12">
        <f>SUM(E12:F12)</f>
        <v/>
      </c>
    </row>
    <row r="13">
      <c r="A13" s="1" t="n">
        <v>46034</v>
      </c>
      <c r="B13" t="n">
        <v>-10000</v>
      </c>
      <c r="C13" t="inlineStr">
        <is>
          <t>MV</t>
        </is>
      </c>
      <c r="D13" s="3" t="inlineStr">
        <is>
          <t>top up</t>
        </is>
      </c>
      <c r="E13" s="27">
        <f>IF(Table3[[#This Row],[Spender]]="YEONG",OFFSET(Table3[[#This Row],[My Actual Balance]],-1,0)-Table3[[#This Row],[Amount]],OFFSET(Table3[[#This Row],[My Actual Balance]],-1,0))</f>
        <v/>
      </c>
      <c r="F13" s="27">
        <f>IF(Table3[[#This Row],[Spender]]="MV",OFFSET(Table3[[#This Row],[MV Balance]],-1,0)-Table3[[#This Row],[Amount]],OFFSET(Table3[[#This Row],[MV Balance]],-1,0))</f>
        <v/>
      </c>
      <c r="G13">
        <f>SUM(E13:F13)</f>
        <v/>
      </c>
    </row>
    <row r="14">
      <c r="A14" s="1" t="n">
        <v>46037</v>
      </c>
      <c r="B14" t="n">
        <v>772.5</v>
      </c>
      <c r="C14" t="inlineStr">
        <is>
          <t>MV</t>
        </is>
      </c>
      <c r="D14" s="3" t="inlineStr">
        <is>
          <t>5011806927371544919</t>
        </is>
      </c>
      <c r="E14" s="27">
        <f>IF(Table3[[#This Row],[Spender]]="YEONG",OFFSET(Table3[[#This Row],[My Actual Balance]],-1,0)-Table3[[#This Row],[Amount]],OFFSET(Table3[[#This Row],[My Actual Balance]],-1,0))</f>
        <v/>
      </c>
      <c r="F14" s="27">
        <f>IF(Table3[[#This Row],[Spender]]="MV",OFFSET(Table3[[#This Row],[MV Balance]],-1,0)-Table3[[#This Row],[Amount]],OFFSET(Table3[[#This Row],[MV Balance]],-1,0))</f>
        <v/>
      </c>
      <c r="G14">
        <f>SUM(E14:F14)</f>
        <v/>
      </c>
    </row>
    <row r="15">
      <c r="A15" s="1" t="n">
        <v>46038</v>
      </c>
      <c r="B15" t="n">
        <v>4820</v>
      </c>
      <c r="C15" t="inlineStr">
        <is>
          <t>MV</t>
        </is>
      </c>
      <c r="D15" s="3" t="inlineStr">
        <is>
          <t>5012309125872544919</t>
        </is>
      </c>
      <c r="E15" s="27">
        <f>IF(Table3[[#This Row],[Spender]]="YEONG",OFFSET(Table3[[#This Row],[My Actual Balance]],-1,0)-Table3[[#This Row],[Amount]],OFFSET(Table3[[#This Row],[My Actual Balance]],-1,0))</f>
        <v/>
      </c>
      <c r="F15" s="27">
        <f>IF(Table3[[#This Row],[Spender]]="MV",OFFSET(Table3[[#This Row],[MV Balance]],-1,0)-Table3[[#This Row],[Amount]],OFFSET(Table3[[#This Row],[MV Balance]],-1,0))</f>
        <v/>
      </c>
      <c r="G15">
        <f>SUM(E15:F15)</f>
        <v/>
      </c>
    </row>
    <row r="16">
      <c r="A16" s="1" t="n">
        <v>46041</v>
      </c>
      <c r="B16" t="n">
        <v>997</v>
      </c>
      <c r="C16" t="inlineStr">
        <is>
          <t>MV</t>
        </is>
      </c>
      <c r="D16" s="3" t="inlineStr">
        <is>
          <t>5016503882157544919</t>
        </is>
      </c>
      <c r="E16" s="27">
        <f>IF(Table3[[#This Row],[Spender]]="YEONG",OFFSET(Table3[[#This Row],[My Actual Balance]],-1,0)-Table3[[#This Row],[Amount]],OFFSET(Table3[[#This Row],[My Actual Balance]],-1,0))</f>
        <v/>
      </c>
      <c r="F16" s="27">
        <f>IF(Table3[[#This Row],[Spender]]="MV",OFFSET(Table3[[#This Row],[MV Balance]],-1,0)-Table3[[#This Row],[Amount]],OFFSET(Table3[[#This Row],[MV Balance]],-1,0))</f>
        <v/>
      </c>
      <c r="G16">
        <f>SUM(E16:F16)</f>
        <v/>
      </c>
    </row>
    <row r="17">
      <c r="A17" s="1" t="n">
        <v>46046</v>
      </c>
      <c r="B17" t="n">
        <v>1775</v>
      </c>
      <c r="C17" t="inlineStr">
        <is>
          <t>MV</t>
        </is>
      </c>
      <c r="D17" s="3" t="inlineStr">
        <is>
          <t>5029479327346544919</t>
        </is>
      </c>
      <c r="E17" s="27">
        <f>IF(Table3[[#This Row],[Spender]]="YEONG",OFFSET(Table3[[#This Row],[My Actual Balance]],-1,0)-Table3[[#This Row],[Amount]],OFFSET(Table3[[#This Row],[My Actual Balance]],-1,0))</f>
        <v/>
      </c>
      <c r="F17" s="27">
        <f>IF(Table3[[#This Row],[Spender]]="MV",OFFSET(Table3[[#This Row],[MV Balance]],-1,0)-Table3[[#This Row],[Amount]],OFFSET(Table3[[#This Row],[MV Balance]],-1,0))</f>
        <v/>
      </c>
      <c r="G17">
        <f>SUM(E17:F17)</f>
        <v/>
      </c>
    </row>
    <row r="18">
      <c r="A18" s="1" t="n">
        <v>46050</v>
      </c>
      <c r="B18" t="n">
        <v>-10000</v>
      </c>
      <c r="C18" t="inlineStr">
        <is>
          <t>MV</t>
        </is>
      </c>
      <c r="D18" s="3" t="inlineStr">
        <is>
          <t>top up</t>
        </is>
      </c>
      <c r="E18" s="27">
        <f>IF(Table3[[#This Row],[Spender]]="YEONG",OFFSET(Table3[[#This Row],[My Actual Balance]],-1,0)-Table3[[#This Row],[Amount]],OFFSET(Table3[[#This Row],[My Actual Balance]],-1,0))</f>
        <v/>
      </c>
      <c r="F18" s="27">
        <f>IF(Table3[[#This Row],[Spender]]="MV",OFFSET(Table3[[#This Row],[MV Balance]],-1,0)-Table3[[#This Row],[Amount]],OFFSET(Table3[[#This Row],[MV Balance]],-1,0))</f>
        <v/>
      </c>
      <c r="G18">
        <f>SUM(E18:F18)</f>
        <v/>
      </c>
    </row>
    <row r="19">
      <c r="A19" s="1" t="n">
        <v>46051</v>
      </c>
      <c r="B19" t="n">
        <v>4480</v>
      </c>
      <c r="C19" t="inlineStr">
        <is>
          <t>MV</t>
        </is>
      </c>
      <c r="D19" s="3" t="inlineStr">
        <is>
          <t>5037878124681098044</t>
        </is>
      </c>
      <c r="E19" s="27">
        <f>IF(Table3[[#This Row],[Spender]]="YEONG",OFFSET(Table3[[#This Row],[My Actual Balance]],-1,0)-Table3[[#This Row],[Amount]],OFFSET(Table3[[#This Row],[My Actual Balance]],-1,0))</f>
        <v/>
      </c>
      <c r="F19" s="27">
        <f>IF(Table3[[#This Row],[Spender]]="MV",OFFSET(Table3[[#This Row],[MV Balance]],-1,0)-Table3[[#This Row],[Amount]],OFFSET(Table3[[#This Row],[MV Balance]],-1,0))</f>
        <v/>
      </c>
      <c r="G19">
        <f>SUM(E19:F19)</f>
        <v/>
      </c>
    </row>
    <row r="20">
      <c r="A20" s="1" t="n">
        <v>46053</v>
      </c>
      <c r="B20" t="n">
        <v>985</v>
      </c>
      <c r="C20" t="inlineStr">
        <is>
          <t>MV</t>
        </is>
      </c>
      <c r="D20" s="3" t="inlineStr">
        <is>
          <t>5039615556714098044</t>
        </is>
      </c>
      <c r="E20" s="27">
        <f>IF(Table3[[#This Row],[Spender]]="YEONG",OFFSET(Table3[[#This Row],[My Actual Balance]],-1,0)-Table3[[#This Row],[Amount]],OFFSET(Table3[[#This Row],[My Actual Balance]],-1,0))</f>
        <v/>
      </c>
      <c r="F20" s="27">
        <f>IF(Table3[[#This Row],[Spender]]="MV",OFFSET(Table3[[#This Row],[MV Balance]],-1,0)-Table3[[#This Row],[Amount]],OFFSET(Table3[[#This Row],[MV Balance]],-1,0))</f>
        <v/>
      </c>
      <c r="G20">
        <f>SUM(E20:F20)</f>
        <v/>
      </c>
    </row>
    <row r="21">
      <c r="A21" s="1" t="n">
        <v>46053</v>
      </c>
      <c r="B21" t="n">
        <v>20</v>
      </c>
      <c r="C21" t="inlineStr">
        <is>
          <t>MV</t>
        </is>
      </c>
      <c r="D21" s="3" t="inlineStr">
        <is>
          <t>China Mobile Top Up</t>
        </is>
      </c>
      <c r="E21" s="27">
        <f>IF(Table3[[#This Row],[Spender]]="YEONG",OFFSET(Table3[[#This Row],[My Actual Balance]],-1,0)-Table3[[#This Row],[Amount]],OFFSET(Table3[[#This Row],[My Actual Balance]],-1,0))</f>
        <v/>
      </c>
      <c r="F21" s="27">
        <f>IF(Table3[[#This Row],[Spender]]="MV",OFFSET(Table3[[#This Row],[MV Balance]],-1,0)-Table3[[#This Row],[Amount]],OFFSET(Table3[[#This Row],[MV Balance]],-1,0))</f>
        <v/>
      </c>
      <c r="G21">
        <f>SUM(E21:F21)</f>
        <v/>
      </c>
    </row>
    <row r="22">
      <c r="A22" s="1" t="n">
        <v>46053</v>
      </c>
      <c r="B22" t="n">
        <v>13.5</v>
      </c>
      <c r="C22" s="9" t="inlineStr">
        <is>
          <t>YEONG</t>
        </is>
      </c>
      <c r="D22" s="3" t="inlineStr">
        <is>
          <t>Food</t>
        </is>
      </c>
      <c r="E22" s="27">
        <f>IF(Table3[[#This Row],[Spender]]="YEONG",OFFSET(Table3[[#This Row],[My Actual Balance]],-1,0)-Table3[[#This Row],[Amount]],OFFSET(Table3[[#This Row],[My Actual Balance]],-1,0))</f>
        <v/>
      </c>
      <c r="F22" s="27">
        <f>IF(Table3[[#This Row],[Spender]]="MV",OFFSET(Table3[[#This Row],[MV Balance]],-1,0)-Table3[[#This Row],[Amount]],OFFSET(Table3[[#This Row],[MV Balance]],-1,0))</f>
        <v/>
      </c>
      <c r="G22">
        <f>SUM(E22:F22)</f>
        <v/>
      </c>
    </row>
    <row r="23">
      <c r="A23" s="1" t="n">
        <v>46079</v>
      </c>
      <c r="B23" t="n">
        <v>4800</v>
      </c>
      <c r="C23" t="inlineStr">
        <is>
          <t>MV</t>
        </is>
      </c>
      <c r="D23" s="3" t="inlineStr">
        <is>
          <t>5085159120326098044</t>
        </is>
      </c>
      <c r="E23" s="27">
        <f>IF(Table3[[#This Row],[Spender]]="YEONG",OFFSET(Table3[[#This Row],[My Actual Balance]],-1,0)-Table3[[#This Row],[Amount]],OFFSET(Table3[[#This Row],[My Actual Balance]],-1,0))</f>
        <v/>
      </c>
      <c r="F23" s="27">
        <f>IF(Table3[[#This Row],[Spender]]="MV",OFFSET(Table3[[#This Row],[MV Balance]],-1,0)-Table3[[#This Row],[Amount]],OFFSET(Table3[[#This Row],[MV Balance]],-1,0))</f>
        <v/>
      </c>
      <c r="G23">
        <f>SUM(E23:F23)</f>
        <v/>
      </c>
    </row>
    <row r="24">
      <c r="A24" s="1" t="n">
        <v>46081</v>
      </c>
      <c r="B24" t="n">
        <v>815.5</v>
      </c>
      <c r="C24" t="inlineStr">
        <is>
          <t>MV</t>
        </is>
      </c>
      <c r="D24" s="3" t="inlineStr">
        <is>
          <t>5089095793650544919</t>
        </is>
      </c>
      <c r="E24" s="27">
        <f>IF(Table3[[#This Row],[Spender]]="YEONG",OFFSET(Table3[[#This Row],[My Actual Balance]],-1,0)-Table3[[#This Row],[Amount]],OFFSET(Table3[[#This Row],[My Actual Balance]],-1,0))</f>
        <v/>
      </c>
      <c r="F24" s="27">
        <f>IF(Table3[[#This Row],[Spender]]="MV",OFFSET(Table3[[#This Row],[MV Balance]],-1,0)-Table3[[#This Row],[Amount]],OFFSET(Table3[[#This Row],[MV Balance]],-1,0))</f>
        <v/>
      </c>
      <c r="G24">
        <f>SUM(E24:F24)</f>
        <v/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2025-06-08T15:56:45Z</dcterms:created>
  <dcterms:modified xsi:type="dcterms:W3CDTF">2026-02-28T13:57:13Z</dcterms:modified>
  <cp:lastModifiedBy>SONG REN YEONG</cp:lastModifiedBy>
</cp:coreProperties>
</file>