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morewaterbusiness-my.sharepoint.com/personal/songren_morevision_my/Documents/MV_Documents/Finance/"/>
    </mc:Choice>
  </mc:AlternateContent>
  <xr:revisionPtr revIDLastSave="837" documentId="13_ncr:1_{AD74628D-BE06-4FC1-BE04-2187DD70E9AC}" xr6:coauthVersionLast="47" xr6:coauthVersionMax="47" xr10:uidLastSave="{37697015-7916-4186-A47E-81B40BA2F139}"/>
  <bookViews>
    <workbookView xWindow="-98" yWindow="-98" windowWidth="21795" windowHeight="12975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 s="1"/>
  <c r="F3" i="2"/>
  <c r="F4" i="2" s="1"/>
  <c r="F5" i="2" s="1"/>
  <c r="E3" i="3"/>
  <c r="F3" i="3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G3" i="3" l="1"/>
  <c r="E4" i="3"/>
  <c r="E5" i="3" s="1"/>
  <c r="E6" i="3" s="1"/>
  <c r="E7" i="3" s="1"/>
  <c r="E5" i="2"/>
  <c r="E6" i="2" s="1"/>
  <c r="E7" i="2" s="1"/>
  <c r="G4" i="2"/>
  <c r="G3" i="2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G5" i="2" l="1"/>
  <c r="G5" i="3"/>
  <c r="G6" i="2"/>
  <c r="G4" i="3"/>
  <c r="G6" i="3"/>
  <c r="E8" i="3"/>
  <c r="G7" i="3"/>
  <c r="G7" i="2"/>
  <c r="E8" i="2"/>
  <c r="G8" i="3" l="1"/>
  <c r="E9" i="3"/>
  <c r="G8" i="2"/>
  <c r="E9" i="2"/>
  <c r="G9" i="3" l="1"/>
  <c r="E10" i="3"/>
  <c r="G9" i="2"/>
  <c r="E10" i="2"/>
  <c r="G10" i="3" l="1"/>
  <c r="E11" i="3"/>
  <c r="E11" i="2"/>
  <c r="G10" i="2"/>
  <c r="E12" i="3" l="1"/>
  <c r="G11" i="3"/>
  <c r="G11" i="2"/>
  <c r="E12" i="2"/>
  <c r="G12" i="3" l="1"/>
  <c r="E13" i="3"/>
  <c r="G12" i="2"/>
  <c r="E13" i="2"/>
  <c r="G13" i="3" l="1"/>
  <c r="E14" i="3"/>
  <c r="E14" i="2"/>
  <c r="G13" i="2"/>
  <c r="G14" i="3" l="1"/>
  <c r="E15" i="3"/>
  <c r="E15" i="2"/>
  <c r="G14" i="2"/>
  <c r="E16" i="3" l="1"/>
  <c r="G15" i="3"/>
  <c r="G15" i="2"/>
  <c r="E16" i="2"/>
  <c r="G16" i="3" l="1"/>
  <c r="E17" i="3"/>
  <c r="E17" i="2"/>
  <c r="G16" i="2"/>
  <c r="E18" i="3" l="1"/>
  <c r="G17" i="3"/>
  <c r="G17" i="2"/>
  <c r="E18" i="2"/>
  <c r="G18" i="3" l="1"/>
  <c r="E19" i="3"/>
  <c r="G18" i="2"/>
  <c r="E19" i="2"/>
  <c r="E20" i="3" l="1"/>
  <c r="G19" i="3"/>
  <c r="G19" i="2"/>
  <c r="E20" i="2"/>
  <c r="G20" i="3" l="1"/>
  <c r="E21" i="3"/>
  <c r="G20" i="2"/>
  <c r="E21" i="2"/>
  <c r="G21" i="3" l="1"/>
  <c r="E22" i="3"/>
  <c r="G21" i="2"/>
  <c r="E22" i="2"/>
  <c r="G22" i="3" l="1"/>
  <c r="E23" i="3"/>
  <c r="E23" i="2"/>
  <c r="G22" i="2"/>
  <c r="G23" i="3" l="1"/>
  <c r="E24" i="3"/>
  <c r="G24" i="3" s="1"/>
  <c r="E24" i="2"/>
  <c r="G23" i="2"/>
  <c r="E25" i="2" l="1"/>
  <c r="G24" i="2"/>
  <c r="E26" i="2" l="1"/>
  <c r="G25" i="2"/>
  <c r="E27" i="2" l="1"/>
  <c r="G26" i="2"/>
  <c r="E28" i="2" l="1"/>
  <c r="G27" i="2"/>
  <c r="E29" i="2" l="1"/>
  <c r="G28" i="2"/>
  <c r="E30" i="2" l="1"/>
  <c r="G29" i="2"/>
  <c r="E31" i="2" l="1"/>
  <c r="G30" i="2"/>
  <c r="E32" i="2" l="1"/>
  <c r="G31" i="2"/>
  <c r="E33" i="2" l="1"/>
  <c r="G32" i="2"/>
  <c r="E34" i="2" l="1"/>
  <c r="G33" i="2"/>
  <c r="E35" i="2" l="1"/>
  <c r="G34" i="2"/>
  <c r="E36" i="2" l="1"/>
  <c r="G35" i="2"/>
  <c r="E37" i="2" l="1"/>
  <c r="G36" i="2"/>
  <c r="G37" i="2" l="1"/>
  <c r="E38" i="2"/>
  <c r="G38" i="2" l="1"/>
  <c r="E39" i="2"/>
  <c r="G39" i="2" l="1"/>
  <c r="E40" i="2"/>
  <c r="G40" i="2" l="1"/>
  <c r="E41" i="2"/>
  <c r="G41" i="2" l="1"/>
  <c r="E42" i="2"/>
  <c r="E43" i="2" l="1"/>
  <c r="G42" i="2"/>
  <c r="E44" i="2" l="1"/>
  <c r="G43" i="2"/>
  <c r="E45" i="2" l="1"/>
  <c r="G44" i="2"/>
  <c r="E46" i="2" l="1"/>
  <c r="G45" i="2"/>
  <c r="E47" i="2" l="1"/>
  <c r="G46" i="2"/>
  <c r="E48" i="2" l="1"/>
  <c r="G47" i="2"/>
  <c r="E49" i="2" l="1"/>
  <c r="G48" i="2"/>
  <c r="E50" i="2" l="1"/>
  <c r="G49" i="2"/>
  <c r="E51" i="2" l="1"/>
  <c r="G50" i="2"/>
  <c r="E52" i="2" l="1"/>
  <c r="G51" i="2"/>
  <c r="E53" i="2" l="1"/>
  <c r="G52" i="2"/>
  <c r="E54" i="2" l="1"/>
  <c r="G53" i="2"/>
  <c r="E55" i="2" l="1"/>
  <c r="G54" i="2"/>
  <c r="E56" i="2" l="1"/>
  <c r="G55" i="2"/>
  <c r="E57" i="2" l="1"/>
  <c r="G56" i="2"/>
  <c r="G57" i="2" l="1"/>
  <c r="E58" i="2"/>
  <c r="G58" i="2" l="1"/>
  <c r="E59" i="2"/>
  <c r="G59" i="2" l="1"/>
  <c r="E60" i="2"/>
  <c r="G60" i="2" l="1"/>
  <c r="E61" i="2"/>
  <c r="G61" i="2" l="1"/>
  <c r="E62" i="2"/>
  <c r="E63" i="2" l="1"/>
  <c r="G62" i="2"/>
  <c r="E64" i="2" l="1"/>
  <c r="G63" i="2"/>
  <c r="E65" i="2" l="1"/>
  <c r="G64" i="2"/>
  <c r="E66" i="2" l="1"/>
  <c r="G65" i="2"/>
  <c r="E67" i="2" l="1"/>
  <c r="G66" i="2"/>
  <c r="E68" i="2" l="1"/>
  <c r="G67" i="2"/>
  <c r="E69" i="2" l="1"/>
  <c r="G68" i="2"/>
  <c r="E70" i="2" l="1"/>
  <c r="G69" i="2"/>
  <c r="E71" i="2" l="1"/>
  <c r="G70" i="2"/>
  <c r="E72" i="2" l="1"/>
  <c r="G71" i="2"/>
  <c r="E73" i="2" l="1"/>
  <c r="G72" i="2"/>
  <c r="E74" i="2" l="1"/>
  <c r="G73" i="2"/>
  <c r="E75" i="2" l="1"/>
  <c r="G74" i="2"/>
  <c r="E76" i="2" l="1"/>
  <c r="G75" i="2"/>
  <c r="E77" i="2" l="1"/>
  <c r="G76" i="2"/>
  <c r="G77" i="2" l="1"/>
  <c r="E78" i="2"/>
  <c r="G78" i="2" l="1"/>
  <c r="E79" i="2"/>
  <c r="G79" i="2" l="1"/>
  <c r="E80" i="2"/>
  <c r="G80" i="2" l="1"/>
  <c r="E81" i="2"/>
  <c r="G81" i="2" l="1"/>
  <c r="E82" i="2"/>
  <c r="E83" i="2" l="1"/>
  <c r="G82" i="2"/>
  <c r="E84" i="2" l="1"/>
  <c r="G83" i="2"/>
  <c r="E85" i="2" l="1"/>
  <c r="G84" i="2"/>
  <c r="E86" i="2" l="1"/>
  <c r="G85" i="2"/>
  <c r="E87" i="2" l="1"/>
  <c r="G86" i="2"/>
  <c r="E88" i="2" l="1"/>
  <c r="G87" i="2"/>
  <c r="E89" i="2" l="1"/>
  <c r="G88" i="2"/>
  <c r="E90" i="2" l="1"/>
  <c r="G89" i="2"/>
  <c r="E91" i="2" l="1"/>
  <c r="G90" i="2"/>
  <c r="E92" i="2" l="1"/>
  <c r="G91" i="2"/>
  <c r="E93" i="2" l="1"/>
  <c r="G92" i="2"/>
  <c r="E94" i="2" l="1"/>
  <c r="G93" i="2"/>
  <c r="E95" i="2" l="1"/>
  <c r="G94" i="2"/>
  <c r="E96" i="2" l="1"/>
  <c r="G95" i="2"/>
  <c r="E97" i="2" l="1"/>
  <c r="G96" i="2"/>
  <c r="G97" i="2" l="1"/>
  <c r="E98" i="2"/>
  <c r="G98" i="2" l="1"/>
  <c r="E99" i="2"/>
  <c r="G99" i="2" l="1"/>
  <c r="E100" i="2"/>
  <c r="G100" i="2" l="1"/>
  <c r="E101" i="2"/>
  <c r="G101" i="2" l="1"/>
  <c r="E102" i="2"/>
  <c r="E103" i="2" l="1"/>
  <c r="G102" i="2"/>
  <c r="E104" i="2" l="1"/>
  <c r="G103" i="2"/>
  <c r="E105" i="2" l="1"/>
  <c r="G104" i="2"/>
  <c r="E106" i="2" l="1"/>
  <c r="G105" i="2"/>
  <c r="E107" i="2" l="1"/>
  <c r="G106" i="2"/>
  <c r="E108" i="2" l="1"/>
  <c r="G107" i="2"/>
  <c r="E109" i="2" l="1"/>
  <c r="G108" i="2"/>
  <c r="E110" i="2" l="1"/>
  <c r="G109" i="2"/>
  <c r="E111" i="2" l="1"/>
  <c r="G110" i="2"/>
  <c r="E112" i="2" l="1"/>
  <c r="G111" i="2"/>
  <c r="G112" i="2" l="1"/>
  <c r="E113" i="2"/>
  <c r="E114" i="2" l="1"/>
  <c r="G113" i="2"/>
  <c r="E115" i="2" l="1"/>
  <c r="G114" i="2"/>
  <c r="E116" i="2" l="1"/>
  <c r="G115" i="2"/>
  <c r="E117" i="2" l="1"/>
  <c r="G116" i="2"/>
  <c r="G117" i="2" l="1"/>
  <c r="E118" i="2"/>
  <c r="G118" i="2" l="1"/>
  <c r="E119" i="2"/>
  <c r="G119" i="2" l="1"/>
  <c r="E120" i="2"/>
  <c r="G120" i="2" l="1"/>
  <c r="E121" i="2"/>
  <c r="G121" i="2" l="1"/>
  <c r="E122" i="2"/>
  <c r="E123" i="2" l="1"/>
  <c r="G122" i="2"/>
  <c r="E124" i="2" l="1"/>
  <c r="G123" i="2"/>
  <c r="E125" i="2" l="1"/>
  <c r="G124" i="2"/>
  <c r="E126" i="2" l="1"/>
  <c r="G125" i="2"/>
  <c r="E127" i="2" l="1"/>
  <c r="G126" i="2"/>
  <c r="E128" i="2" l="1"/>
  <c r="G127" i="2"/>
  <c r="E129" i="2" l="1"/>
  <c r="G128" i="2"/>
  <c r="E130" i="2" l="1"/>
  <c r="G129" i="2"/>
  <c r="E131" i="2" l="1"/>
  <c r="G130" i="2"/>
  <c r="E132" i="2" l="1"/>
  <c r="G131" i="2"/>
  <c r="G132" i="2" l="1"/>
  <c r="E133" i="2"/>
  <c r="E134" i="2" l="1"/>
  <c r="G133" i="2"/>
  <c r="E135" i="2" l="1"/>
  <c r="G134" i="2"/>
  <c r="E136" i="2" l="1"/>
  <c r="G135" i="2"/>
  <c r="E137" i="2" l="1"/>
  <c r="G136" i="2"/>
  <c r="G137" i="2" l="1"/>
  <c r="E138" i="2"/>
  <c r="G138" i="2" l="1"/>
  <c r="E139" i="2"/>
  <c r="G139" i="2" l="1"/>
  <c r="E140" i="2"/>
  <c r="G140" i="2" l="1"/>
  <c r="E141" i="2"/>
  <c r="G141" i="2" l="1"/>
  <c r="E142" i="2"/>
  <c r="E143" i="2" l="1"/>
  <c r="G142" i="2"/>
  <c r="E144" i="2" l="1"/>
  <c r="G143" i="2"/>
  <c r="E145" i="2" l="1"/>
  <c r="G144" i="2"/>
  <c r="E146" i="2" l="1"/>
  <c r="G145" i="2"/>
  <c r="E147" i="2" l="1"/>
  <c r="G146" i="2"/>
  <c r="E148" i="2" l="1"/>
  <c r="G147" i="2"/>
  <c r="E149" i="2" l="1"/>
  <c r="G148" i="2"/>
  <c r="E150" i="2" l="1"/>
  <c r="G149" i="2"/>
  <c r="E151" i="2" l="1"/>
  <c r="G150" i="2"/>
  <c r="E152" i="2" l="1"/>
  <c r="G151" i="2"/>
  <c r="G152" i="2" l="1"/>
  <c r="E153" i="2"/>
  <c r="E154" i="2" l="1"/>
  <c r="G153" i="2"/>
  <c r="E155" i="2" l="1"/>
  <c r="G154" i="2"/>
  <c r="E156" i="2" l="1"/>
  <c r="G155" i="2"/>
  <c r="E157" i="2" l="1"/>
  <c r="G156" i="2"/>
  <c r="G157" i="2" l="1"/>
  <c r="E158" i="2"/>
  <c r="G158" i="2" l="1"/>
  <c r="E159" i="2"/>
  <c r="G159" i="2" l="1"/>
  <c r="E160" i="2"/>
  <c r="G160" i="2" l="1"/>
  <c r="E161" i="2"/>
  <c r="G161" i="2" l="1"/>
  <c r="E162" i="2"/>
  <c r="E163" i="2" l="1"/>
  <c r="G162" i="2"/>
  <c r="E164" i="2" l="1"/>
  <c r="G163" i="2"/>
  <c r="E165" i="2" l="1"/>
  <c r="G164" i="2"/>
  <c r="E166" i="2" l="1"/>
  <c r="G165" i="2"/>
  <c r="E167" i="2" l="1"/>
  <c r="G166" i="2"/>
  <c r="E168" i="2" l="1"/>
  <c r="G167" i="2"/>
  <c r="E169" i="2" l="1"/>
  <c r="G168" i="2"/>
  <c r="E170" i="2" l="1"/>
  <c r="G169" i="2"/>
  <c r="E171" i="2" l="1"/>
  <c r="G170" i="2"/>
  <c r="E172" i="2" l="1"/>
  <c r="G171" i="2"/>
  <c r="E173" i="2" l="1"/>
  <c r="G172" i="2"/>
  <c r="E174" i="2" l="1"/>
  <c r="G173" i="2"/>
  <c r="E175" i="2" l="1"/>
  <c r="G174" i="2"/>
  <c r="E176" i="2" l="1"/>
  <c r="G175" i="2"/>
  <c r="E177" i="2" l="1"/>
  <c r="G176" i="2"/>
  <c r="G177" i="2" l="1"/>
  <c r="E178" i="2"/>
  <c r="G178" i="2" l="1"/>
  <c r="E179" i="2"/>
  <c r="G179" i="2" l="1"/>
  <c r="E180" i="2"/>
  <c r="G180" i="2" l="1"/>
  <c r="E181" i="2"/>
  <c r="G181" i="2" l="1"/>
  <c r="E182" i="2"/>
  <c r="E183" i="2" l="1"/>
  <c r="G182" i="2"/>
  <c r="E184" i="2" l="1"/>
  <c r="G183" i="2"/>
  <c r="E185" i="2" l="1"/>
  <c r="G184" i="2"/>
  <c r="E186" i="2" l="1"/>
  <c r="G185" i="2"/>
  <c r="E187" i="2" l="1"/>
  <c r="G186" i="2"/>
  <c r="E188" i="2" l="1"/>
  <c r="G187" i="2"/>
  <c r="E189" i="2" l="1"/>
  <c r="G188" i="2"/>
  <c r="E190" i="2" l="1"/>
  <c r="G189" i="2"/>
  <c r="E191" i="2" l="1"/>
  <c r="G190" i="2"/>
  <c r="E192" i="2" l="1"/>
  <c r="G191" i="2"/>
  <c r="E193" i="2" l="1"/>
  <c r="G192" i="2"/>
  <c r="E194" i="2" l="1"/>
  <c r="G193" i="2"/>
  <c r="E195" i="2" l="1"/>
  <c r="G194" i="2"/>
  <c r="E196" i="2" l="1"/>
  <c r="G195" i="2"/>
  <c r="E197" i="2" l="1"/>
  <c r="G196" i="2"/>
  <c r="G197" i="2" l="1"/>
  <c r="E198" i="2"/>
  <c r="G198" i="2" l="1"/>
  <c r="E199" i="2"/>
  <c r="G199" i="2" l="1"/>
  <c r="E200" i="2"/>
  <c r="G200" i="2" l="1"/>
  <c r="E201" i="2"/>
  <c r="G201" i="2" l="1"/>
  <c r="E202" i="2"/>
  <c r="E203" i="2" l="1"/>
  <c r="G202" i="2"/>
  <c r="E204" i="2" l="1"/>
  <c r="G203" i="2"/>
  <c r="E205" i="2" l="1"/>
  <c r="G204" i="2"/>
  <c r="E206" i="2" l="1"/>
  <c r="G205" i="2"/>
  <c r="E207" i="2" l="1"/>
  <c r="G206" i="2"/>
  <c r="E208" i="2" l="1"/>
  <c r="G207" i="2"/>
  <c r="E209" i="2" l="1"/>
  <c r="G208" i="2"/>
  <c r="E210" i="2" l="1"/>
  <c r="G209" i="2"/>
  <c r="E211" i="2" l="1"/>
  <c r="G210" i="2"/>
  <c r="E212" i="2" l="1"/>
  <c r="G211" i="2"/>
  <c r="E213" i="2" l="1"/>
  <c r="G212" i="2"/>
  <c r="E214" i="2" l="1"/>
  <c r="G213" i="2"/>
  <c r="E215" i="2" l="1"/>
  <c r="G214" i="2"/>
  <c r="E216" i="2" l="1"/>
  <c r="G215" i="2"/>
  <c r="E217" i="2" l="1"/>
  <c r="G216" i="2"/>
  <c r="G217" i="2" l="1"/>
  <c r="E218" i="2"/>
  <c r="G218" i="2" l="1"/>
  <c r="E219" i="2"/>
  <c r="G219" i="2" l="1"/>
  <c r="E220" i="2"/>
  <c r="G220" i="2" l="1"/>
  <c r="E221" i="2"/>
  <c r="G221" i="2" l="1"/>
  <c r="E222" i="2"/>
  <c r="E223" i="2" l="1"/>
  <c r="G222" i="2"/>
  <c r="E224" i="2" l="1"/>
  <c r="G223" i="2"/>
  <c r="E225" i="2" l="1"/>
  <c r="G224" i="2"/>
  <c r="E226" i="2" l="1"/>
  <c r="G225" i="2"/>
  <c r="E227" i="2" l="1"/>
  <c r="G226" i="2"/>
  <c r="E228" i="2" l="1"/>
  <c r="G227" i="2"/>
  <c r="E229" i="2" l="1"/>
  <c r="G228" i="2"/>
  <c r="E230" i="2" l="1"/>
  <c r="G229" i="2"/>
  <c r="E231" i="2" l="1"/>
  <c r="G230" i="2"/>
  <c r="E232" i="2" l="1"/>
  <c r="G231" i="2"/>
  <c r="E233" i="2" l="1"/>
  <c r="G232" i="2"/>
  <c r="E234" i="2" l="1"/>
  <c r="G233" i="2"/>
  <c r="E235" i="2" l="1"/>
  <c r="G234" i="2"/>
  <c r="E236" i="2" l="1"/>
  <c r="G235" i="2"/>
  <c r="E237" i="2" l="1"/>
  <c r="G236" i="2"/>
  <c r="G237" i="2" l="1"/>
  <c r="E238" i="2"/>
  <c r="G238" i="2" l="1"/>
  <c r="E239" i="2"/>
  <c r="G239" i="2" l="1"/>
  <c r="E240" i="2"/>
  <c r="G240" i="2" l="1"/>
  <c r="E241" i="2"/>
  <c r="G241" i="2" l="1"/>
  <c r="E242" i="2"/>
  <c r="E243" i="2" l="1"/>
  <c r="G242" i="2"/>
  <c r="E244" i="2" l="1"/>
  <c r="G243" i="2"/>
  <c r="E245" i="2" l="1"/>
  <c r="G244" i="2"/>
  <c r="E246" i="2" l="1"/>
  <c r="G245" i="2"/>
  <c r="E247" i="2" l="1"/>
  <c r="G246" i="2"/>
  <c r="E248" i="2" l="1"/>
  <c r="G247" i="2"/>
  <c r="E249" i="2" l="1"/>
  <c r="G248" i="2"/>
  <c r="E250" i="2" l="1"/>
  <c r="G249" i="2"/>
  <c r="E251" i="2" l="1"/>
  <c r="G250" i="2"/>
  <c r="E252" i="2" l="1"/>
  <c r="G251" i="2"/>
  <c r="E253" i="2" l="1"/>
  <c r="G252" i="2"/>
  <c r="E254" i="2" l="1"/>
  <c r="G253" i="2"/>
  <c r="E255" i="2" l="1"/>
  <c r="G254" i="2"/>
  <c r="E256" i="2" l="1"/>
  <c r="G255" i="2"/>
  <c r="E257" i="2" l="1"/>
  <c r="G256" i="2"/>
  <c r="G257" i="2" l="1"/>
  <c r="E258" i="2"/>
  <c r="G258" i="2" l="1"/>
  <c r="E259" i="2"/>
  <c r="G259" i="2" l="1"/>
  <c r="E260" i="2"/>
  <c r="G260" i="2" l="1"/>
  <c r="E261" i="2"/>
  <c r="G261" i="2" l="1"/>
  <c r="E262" i="2"/>
  <c r="E263" i="2" l="1"/>
  <c r="G262" i="2"/>
  <c r="E264" i="2" l="1"/>
  <c r="G263" i="2"/>
  <c r="E265" i="2" l="1"/>
  <c r="G264" i="2"/>
  <c r="E266" i="2" l="1"/>
  <c r="G265" i="2"/>
  <c r="E267" i="2" l="1"/>
  <c r="G266" i="2"/>
  <c r="E268" i="2" l="1"/>
  <c r="G267" i="2"/>
  <c r="E269" i="2" l="1"/>
  <c r="G268" i="2"/>
  <c r="E270" i="2" l="1"/>
  <c r="G269" i="2"/>
  <c r="E271" i="2" l="1"/>
  <c r="G270" i="2"/>
  <c r="E272" i="2" l="1"/>
  <c r="G271" i="2"/>
  <c r="E273" i="2" l="1"/>
  <c r="G272" i="2"/>
  <c r="E274" i="2" l="1"/>
  <c r="G273" i="2"/>
  <c r="E275" i="2" l="1"/>
  <c r="G274" i="2"/>
  <c r="E276" i="2" l="1"/>
  <c r="G275" i="2"/>
  <c r="E277" i="2" l="1"/>
  <c r="G276" i="2"/>
  <c r="G277" i="2" l="1"/>
  <c r="E278" i="2"/>
  <c r="G278" i="2" l="1"/>
  <c r="E279" i="2"/>
  <c r="G279" i="2" l="1"/>
  <c r="E280" i="2"/>
  <c r="G280" i="2" l="1"/>
  <c r="E281" i="2"/>
  <c r="G281" i="2" l="1"/>
  <c r="E282" i="2"/>
  <c r="E283" i="2" l="1"/>
  <c r="G282" i="2"/>
  <c r="E284" i="2" l="1"/>
  <c r="G283" i="2"/>
  <c r="E285" i="2" l="1"/>
  <c r="G284" i="2"/>
  <c r="E286" i="2" l="1"/>
  <c r="G285" i="2"/>
  <c r="E287" i="2" l="1"/>
  <c r="G286" i="2"/>
  <c r="E288" i="2" l="1"/>
  <c r="G287" i="2"/>
  <c r="E289" i="2" l="1"/>
  <c r="G288" i="2"/>
  <c r="E290" i="2" l="1"/>
  <c r="G289" i="2"/>
  <c r="E291" i="2" l="1"/>
  <c r="G290" i="2"/>
  <c r="E292" i="2" l="1"/>
  <c r="G291" i="2"/>
  <c r="E293" i="2" l="1"/>
  <c r="G292" i="2"/>
  <c r="E294" i="2" l="1"/>
  <c r="G293" i="2"/>
  <c r="E295" i="2" l="1"/>
  <c r="G294" i="2"/>
  <c r="E296" i="2" l="1"/>
  <c r="G295" i="2"/>
  <c r="E297" i="2" l="1"/>
  <c r="G296" i="2"/>
  <c r="G297" i="2" l="1"/>
  <c r="E298" i="2"/>
  <c r="G298" i="2" l="1"/>
  <c r="E299" i="2"/>
  <c r="G299" i="2" l="1"/>
  <c r="E300" i="2"/>
  <c r="G300" i="2" l="1"/>
  <c r="E301" i="2"/>
  <c r="G301" i="2" l="1"/>
  <c r="E302" i="2"/>
  <c r="E303" i="2" l="1"/>
  <c r="G302" i="2"/>
  <c r="G303" i="2" l="1"/>
</calcChain>
</file>

<file path=xl/sharedStrings.xml><?xml version="1.0" encoding="utf-8"?>
<sst xmlns="http://schemas.openxmlformats.org/spreadsheetml/2006/main" count="1132" uniqueCount="312">
  <si>
    <t>Id</t>
  </si>
  <si>
    <t>Start time</t>
  </si>
  <si>
    <t>Completion time</t>
  </si>
  <si>
    <t>Email</t>
  </si>
  <si>
    <t>Name</t>
  </si>
  <si>
    <t>Date</t>
  </si>
  <si>
    <t>Amount</t>
  </si>
  <si>
    <t>Spender</t>
  </si>
  <si>
    <t>Remark</t>
  </si>
  <si>
    <t>anonymous</t>
  </si>
  <si>
    <t>5537</t>
  </si>
  <si>
    <t>MV</t>
  </si>
  <si>
    <t>720.5</t>
  </si>
  <si>
    <t>Top up to alipay</t>
  </si>
  <si>
    <t>-10000</t>
  </si>
  <si>
    <t>Top up</t>
  </si>
  <si>
    <t>2621.55</t>
  </si>
  <si>
    <t>XH20250612007</t>
  </si>
  <si>
    <t xml:space="preserve"> 537.00 </t>
  </si>
  <si>
    <t>4396290445101544919</t>
  </si>
  <si>
    <t xml:space="preserve"> 490.00 </t>
  </si>
  <si>
    <t>4396693467119544919</t>
  </si>
  <si>
    <t xml:space="preserve"> 860.00 </t>
  </si>
  <si>
    <t>4396688211726544919</t>
  </si>
  <si>
    <t xml:space="preserve"> 570.00 </t>
  </si>
  <si>
    <t>4396618370394544919</t>
  </si>
  <si>
    <t xml:space="preserve"> 560.00 </t>
  </si>
  <si>
    <t>4396289905203544919</t>
  </si>
  <si>
    <t>4045</t>
  </si>
  <si>
    <t>500</t>
  </si>
  <si>
    <t>YEONG</t>
  </si>
  <si>
    <t>Top up alipay</t>
  </si>
  <si>
    <t>-1.39</t>
  </si>
  <si>
    <t>Interest</t>
  </si>
  <si>
    <t>300</t>
  </si>
  <si>
    <t>Dinner</t>
  </si>
  <si>
    <t>900</t>
  </si>
  <si>
    <t>4609107828972544919</t>
  </si>
  <si>
    <t>974</t>
  </si>
  <si>
    <t>4609077446645544919</t>
  </si>
  <si>
    <t>2</t>
  </si>
  <si>
    <t>景山公园</t>
  </si>
  <si>
    <t>-79.48</t>
  </si>
  <si>
    <t>return from alipay</t>
  </si>
  <si>
    <t>1740</t>
  </si>
  <si>
    <t>4620571741570544919</t>
  </si>
  <si>
    <t>11.26</t>
  </si>
  <si>
    <t>Muji spectacles wipe</t>
  </si>
  <si>
    <t>2550</t>
  </si>
  <si>
    <t>4623956858567544919</t>
  </si>
  <si>
    <t>894.00</t>
  </si>
  <si>
    <t>4625418026987544919</t>
  </si>
  <si>
    <t>627.00</t>
  </si>
  <si>
    <t>4625422849778544919</t>
  </si>
  <si>
    <t>520</t>
  </si>
  <si>
    <t>4625417594881544919</t>
  </si>
  <si>
    <t>946</t>
  </si>
  <si>
    <t>4631250384132544919</t>
  </si>
  <si>
    <t>1025</t>
  </si>
  <si>
    <t>4633255083221544919</t>
  </si>
  <si>
    <t>MV TOP UP</t>
  </si>
  <si>
    <t>825</t>
  </si>
  <si>
    <t>4634427205749544919</t>
  </si>
  <si>
    <t>982.50</t>
  </si>
  <si>
    <t>4638114288214544919</t>
  </si>
  <si>
    <t>448.00</t>
  </si>
  <si>
    <t>4643984016620544919</t>
  </si>
  <si>
    <t>46</t>
  </si>
  <si>
    <t>Food</t>
  </si>
  <si>
    <t>297.5</t>
  </si>
  <si>
    <t>4649993534155544919</t>
  </si>
  <si>
    <t>840</t>
  </si>
  <si>
    <t>4649990761822544919</t>
  </si>
  <si>
    <t>4649987594817544919</t>
  </si>
  <si>
    <t>613.4</t>
  </si>
  <si>
    <t>4649992993280544919</t>
  </si>
  <si>
    <t>885.00</t>
  </si>
  <si>
    <t>4650084219411544919</t>
  </si>
  <si>
    <t>940.00</t>
  </si>
  <si>
    <t>4655745110708544919</t>
  </si>
  <si>
    <t>2831</t>
  </si>
  <si>
    <t>4661860394292544919</t>
  </si>
  <si>
    <t>Top Up</t>
  </si>
  <si>
    <t>4074</t>
  </si>
  <si>
    <t>4670111379063544919</t>
  </si>
  <si>
    <t>825.00</t>
  </si>
  <si>
    <t>4667210100322544919</t>
  </si>
  <si>
    <t>935.50</t>
  </si>
  <si>
    <t>4673774412124544919</t>
  </si>
  <si>
    <t>905</t>
  </si>
  <si>
    <t>4673841519404544919</t>
  </si>
  <si>
    <t>523.00</t>
  </si>
  <si>
    <t>4673839935604544919</t>
  </si>
  <si>
    <t>1895</t>
  </si>
  <si>
    <t>4678925869067098044</t>
  </si>
  <si>
    <t>TOP UP</t>
  </si>
  <si>
    <t>4145</t>
  </si>
  <si>
    <t>4685104332524544919</t>
  </si>
  <si>
    <t>540.00</t>
  </si>
  <si>
    <t>4685031686135544919</t>
  </si>
  <si>
    <t>1030</t>
  </si>
  <si>
    <t>4685192028866544919</t>
  </si>
  <si>
    <t>1020</t>
  </si>
  <si>
    <t>4685029670500544919</t>
  </si>
  <si>
    <t>666</t>
  </si>
  <si>
    <t>4685159991595544919</t>
  </si>
  <si>
    <t>21.2</t>
  </si>
  <si>
    <t>433.00</t>
  </si>
  <si>
    <t>4702097521439544919</t>
  </si>
  <si>
    <t>2324.82</t>
  </si>
  <si>
    <t>XH20250826020</t>
  </si>
  <si>
    <t>253</t>
  </si>
  <si>
    <t>Shipment for XH20250826020 and XH20250612007</t>
  </si>
  <si>
    <t>1000.00</t>
  </si>
  <si>
    <t>4706047551224544919</t>
  </si>
  <si>
    <t>750.00</t>
  </si>
  <si>
    <t>4705970905315544919</t>
  </si>
  <si>
    <t>855.00</t>
  </si>
  <si>
    <t>4706113068275544919</t>
  </si>
  <si>
    <t>96</t>
  </si>
  <si>
    <t>Flower</t>
  </si>
  <si>
    <t>flower</t>
  </si>
  <si>
    <t>7050.00</t>
  </si>
  <si>
    <t>4710610514950544919</t>
  </si>
  <si>
    <t>3608.00</t>
  </si>
  <si>
    <t>4717546814126544919</t>
  </si>
  <si>
    <t>18.1</t>
  </si>
  <si>
    <t>Purchase on taobao</t>
  </si>
  <si>
    <t>543.00</t>
  </si>
  <si>
    <t>4717812024350544919</t>
  </si>
  <si>
    <t>1050.00</t>
  </si>
  <si>
    <t>4717535762493544919</t>
  </si>
  <si>
    <t>311.00</t>
  </si>
  <si>
    <t>4717536842272544919</t>
  </si>
  <si>
    <t>719.00</t>
  </si>
  <si>
    <t>4732995169174544919</t>
  </si>
  <si>
    <t>1040.00</t>
  </si>
  <si>
    <t>4733080740873544919</t>
  </si>
  <si>
    <t>250</t>
  </si>
  <si>
    <t>4717427905202544919</t>
  </si>
  <si>
    <t>878.63</t>
  </si>
  <si>
    <t>4737596042338544919</t>
  </si>
  <si>
    <t>940</t>
  </si>
  <si>
    <t>4753770481403544919</t>
  </si>
  <si>
    <t>743.00</t>
  </si>
  <si>
    <t>4761042048793544919</t>
  </si>
  <si>
    <t>1206</t>
  </si>
  <si>
    <t>4763599419113098044</t>
  </si>
  <si>
    <t>447</t>
  </si>
  <si>
    <t>4767674006862544919</t>
  </si>
  <si>
    <t>4220</t>
  </si>
  <si>
    <t>4767794498669544919</t>
  </si>
  <si>
    <t>3000</t>
  </si>
  <si>
    <t>XH20250929007</t>
  </si>
  <si>
    <t>880.00</t>
  </si>
  <si>
    <t>4803250321950544919</t>
  </si>
  <si>
    <t>2900</t>
  </si>
  <si>
    <t>4805266213289544919</t>
  </si>
  <si>
    <t>4805090462544098044</t>
  </si>
  <si>
    <t>860</t>
  </si>
  <si>
    <t>4803394320238544919</t>
  </si>
  <si>
    <t>4803389316882544919</t>
  </si>
  <si>
    <t>3252.90</t>
  </si>
  <si>
    <t>XH20251015002</t>
  </si>
  <si>
    <t>14.25</t>
  </si>
  <si>
    <t>5054.20</t>
  </si>
  <si>
    <t>4811782755428544919</t>
  </si>
  <si>
    <t>1161</t>
  </si>
  <si>
    <t>4803183182773098044</t>
  </si>
  <si>
    <t>703</t>
  </si>
  <si>
    <t>4827677979655544919</t>
  </si>
  <si>
    <t>984.00</t>
  </si>
  <si>
    <t>4821073741713098044</t>
  </si>
  <si>
    <t>1100.50</t>
  </si>
  <si>
    <t>4829659777363098044</t>
  </si>
  <si>
    <t>920</t>
  </si>
  <si>
    <t>4834722675209544919</t>
  </si>
  <si>
    <t>613.40</t>
  </si>
  <si>
    <t>4834649558710544919</t>
  </si>
  <si>
    <t>936</t>
  </si>
  <si>
    <t>4834722135300544919</t>
  </si>
  <si>
    <t>618.00</t>
  </si>
  <si>
    <t>4834879813992544919</t>
  </si>
  <si>
    <t>1520</t>
  </si>
  <si>
    <t>4845895959278544919</t>
  </si>
  <si>
    <t>1125.00</t>
  </si>
  <si>
    <t>4845850130784544919</t>
  </si>
  <si>
    <t>960.00</t>
  </si>
  <si>
    <t>4844041347117544919</t>
  </si>
  <si>
    <t>2780.00</t>
  </si>
  <si>
    <t>4855657683676544919</t>
  </si>
  <si>
    <t>609</t>
  </si>
  <si>
    <t>4858613967702098044</t>
  </si>
  <si>
    <t>3200</t>
  </si>
  <si>
    <t>4860000866166098044</t>
  </si>
  <si>
    <t>1078</t>
  </si>
  <si>
    <t>4861254602944544919</t>
  </si>
  <si>
    <t>652.00</t>
  </si>
  <si>
    <t>4861553905946544919</t>
  </si>
  <si>
    <t>4861555633540544919</t>
  </si>
  <si>
    <t>874.00</t>
  </si>
  <si>
    <t>4861553329972544919</t>
  </si>
  <si>
    <t>2962</t>
  </si>
  <si>
    <t>4871765304296098044</t>
  </si>
  <si>
    <t>841.75</t>
  </si>
  <si>
    <t>4878689222596544919</t>
  </si>
  <si>
    <t>4879063944684544919</t>
  </si>
  <si>
    <t>5040</t>
  </si>
  <si>
    <t>4878676478808098044</t>
  </si>
  <si>
    <t>490</t>
  </si>
  <si>
    <t>4878741099885544919</t>
  </si>
  <si>
    <t>top up</t>
  </si>
  <si>
    <t>1345</t>
  </si>
  <si>
    <t>LFLF112110</t>
  </si>
  <si>
    <t>8016.00</t>
  </si>
  <si>
    <t>4894484294597544919</t>
  </si>
  <si>
    <t>772</t>
  </si>
  <si>
    <t>4892220180579098044</t>
  </si>
  <si>
    <t>4891997664911098044</t>
  </si>
  <si>
    <t>4614.46</t>
  </si>
  <si>
    <t>4904230755804544919</t>
  </si>
  <si>
    <t>19.6</t>
  </si>
  <si>
    <t>food</t>
  </si>
  <si>
    <t>690.25</t>
  </si>
  <si>
    <t>4939193450472544919</t>
  </si>
  <si>
    <t>34.07</t>
  </si>
  <si>
    <t>4961560142268544919</t>
  </si>
  <si>
    <t>27</t>
  </si>
  <si>
    <t>Uniqlo socks</t>
  </si>
  <si>
    <t>29.9</t>
  </si>
  <si>
    <t>Micun banfan</t>
  </si>
  <si>
    <t>35</t>
  </si>
  <si>
    <t>Hefu lao mian</t>
  </si>
  <si>
    <t>36.77</t>
  </si>
  <si>
    <t>Sbux and didi car</t>
  </si>
  <si>
    <t>5.6</t>
  </si>
  <si>
    <t>Cake</t>
  </si>
  <si>
    <t>805</t>
  </si>
  <si>
    <t>4978591239025098044</t>
  </si>
  <si>
    <t>790</t>
  </si>
  <si>
    <t>My Actual Balance</t>
  </si>
  <si>
    <t>MV Balance</t>
  </si>
  <si>
    <t>Bank Balance</t>
  </si>
  <si>
    <t>buy Mom dress</t>
  </si>
  <si>
    <t>buy durian</t>
  </si>
  <si>
    <t>bank reimburse fee</t>
  </si>
  <si>
    <t>Father item</t>
  </si>
  <si>
    <t>interest gain</t>
  </si>
  <si>
    <t>High Speed Railway Ticket</t>
  </si>
  <si>
    <t>Yeong Alipay top up</t>
  </si>
  <si>
    <t>SBUX Vouchers</t>
  </si>
  <si>
    <t>EXPENSES</t>
  </si>
  <si>
    <t>4359182976154544919</t>
  </si>
  <si>
    <t>4358771893425544919</t>
  </si>
  <si>
    <t>4359117026785544919</t>
  </si>
  <si>
    <t>4359175308748544919</t>
  </si>
  <si>
    <t>Too up to alipay</t>
  </si>
  <si>
    <t>4372535882749544919</t>
  </si>
  <si>
    <t>Transfer to YSB</t>
  </si>
  <si>
    <t>4767919669513544919</t>
  </si>
  <si>
    <t>4767810194309544919</t>
  </si>
  <si>
    <t>4768036524748544919</t>
  </si>
  <si>
    <t>4902490800894098044</t>
  </si>
  <si>
    <t>4908145070947544919</t>
  </si>
  <si>
    <t>4905012493047544919</t>
  </si>
  <si>
    <t>4905011845149544919</t>
  </si>
  <si>
    <t>4917169550019544919</t>
  </si>
  <si>
    <t>4917530808849544919</t>
  </si>
  <si>
    <t>4918802040718098044</t>
  </si>
  <si>
    <t>4918500831388098044</t>
  </si>
  <si>
    <t>Refund from order 4861553329972544919</t>
  </si>
  <si>
    <t>4935494739469098044</t>
  </si>
  <si>
    <t>4935890448289544919</t>
  </si>
  <si>
    <t>4936547556133544919</t>
  </si>
  <si>
    <t>Check up</t>
  </si>
  <si>
    <t>MISC</t>
  </si>
  <si>
    <t>DIDI CAR</t>
  </si>
  <si>
    <t>4965795073488098044</t>
  </si>
  <si>
    <t>4965920496478098044</t>
  </si>
  <si>
    <t>4963639179543544919</t>
  </si>
  <si>
    <t>Transfer to Beijing Bank</t>
  </si>
  <si>
    <t>Received from Beijing Bank</t>
  </si>
  <si>
    <t>Beijing Trip Expenses</t>
  </si>
  <si>
    <t>4969724149057544919</t>
  </si>
  <si>
    <t>LFLF25123101</t>
  </si>
  <si>
    <t>4985028327612544919</t>
  </si>
  <si>
    <t>4990482687045098044</t>
  </si>
  <si>
    <t>5760</t>
  </si>
  <si>
    <t>XH20251229005</t>
  </si>
  <si>
    <t>4993388173425544919</t>
  </si>
  <si>
    <t>4996706437178098044</t>
  </si>
  <si>
    <t>4999480453628098044</t>
  </si>
  <si>
    <t>4999485636420544919</t>
  </si>
  <si>
    <t>5012309125872544919</t>
  </si>
  <si>
    <t>5011806927371544919</t>
  </si>
  <si>
    <t>5012364852681098044</t>
  </si>
  <si>
    <t>5016373167019544919</t>
  </si>
  <si>
    <t>5016502586456544919</t>
  </si>
  <si>
    <t>5016503882157544919</t>
  </si>
  <si>
    <t>5020977567952098044</t>
  </si>
  <si>
    <t>GZ Shipment Top up</t>
  </si>
  <si>
    <t>5029993729382098044</t>
  </si>
  <si>
    <t>5024918126707098044</t>
  </si>
  <si>
    <t>5029479327346544919</t>
  </si>
  <si>
    <t>Ipad keyboard case</t>
  </si>
  <si>
    <t>5039235255322544919</t>
  </si>
  <si>
    <t>5037878124681098044</t>
  </si>
  <si>
    <t>XH20260129001</t>
  </si>
  <si>
    <t>5039615556714098044</t>
  </si>
  <si>
    <t>China Mobile Top Up</t>
  </si>
  <si>
    <t>5085159120326098044</t>
  </si>
  <si>
    <t>5089095793650544919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</si>
</sst>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/d/yyyy"/>
    <numFmt numFmtId="165" formatCode="m/d/yyyy\ h:mm"/>
  </numFmts>
  <fonts count="16" x14ac:knownFonts="1">
    <font>
      <sz val="11"/>
      <color theme="1"/>
      <name val="Calibri"/>
      <family val="2"/>
      <scheme val="minor"/>
    </font>
    <font>
      <sz val="10"/>
      <color rgb="FFFFFFFF"/>
      <name val="Roboto"/>
    </font>
    <font>
      <sz val="10"/>
      <color rgb="FF434343"/>
      <name val="Roboto"/>
    </font>
    <font>
      <sz val="10"/>
      <color rgb="FF2C481F"/>
      <name val="Roboto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color rgb="FF2A3243"/>
      <name val="Roboto"/>
    </font>
    <font>
      <sz val="10"/>
      <color rgb="FF434343"/>
      <name val="Roboto"/>
    </font>
    <font>
      <sz val="11"/>
      <color theme="1"/>
      <name val="Calibri"/>
      <family val="2"/>
      <scheme val="minor"/>
    </font>
    <font>
      <sz val="10"/>
      <color rgb="FF434343"/>
      <name val="Arial"/>
      <family val="2"/>
    </font>
    <font>
      <b/>
      <sz val="10"/>
      <color rgb="FFFFFFFF"/>
      <name val="Roboto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color rgb="FF434343"/>
      <name val="Arial"/>
      <family val="2"/>
    </font>
    <font>
      <sz val="10"/>
      <color rgb="FF434343"/>
      <name val="Arial"/>
      <family val="2"/>
    </font>
    <font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/>
      <top/>
      <bottom style="thin">
        <color rgb="FF284E3F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1" fillId="2" borderId="1" xfId="0" applyFont="1" applyFill="1" applyBorder="1" applyAlignment="1">
      <alignment readingOrder="1"/>
    </xf>
    <xf numFmtId="0" fontId="1" fillId="2" borderId="2" xfId="0" applyFont="1" applyFill="1" applyBorder="1" applyAlignment="1">
      <alignment readingOrder="1"/>
    </xf>
    <xf numFmtId="0" fontId="1" fillId="2" borderId="3" xfId="0" applyFont="1" applyFill="1" applyBorder="1" applyAlignment="1">
      <alignment readingOrder="1"/>
    </xf>
    <xf numFmtId="14" fontId="2" fillId="0" borderId="0" xfId="0" applyNumberFormat="1" applyFont="1" applyAlignment="1">
      <alignment readingOrder="1"/>
    </xf>
    <xf numFmtId="0" fontId="3" fillId="0" borderId="0" xfId="0" applyFont="1" applyAlignment="1">
      <alignment readingOrder="1"/>
    </xf>
    <xf numFmtId="4" fontId="5" fillId="0" borderId="0" xfId="0" applyNumberFormat="1" applyFont="1" applyAlignment="1">
      <alignment readingOrder="1"/>
    </xf>
    <xf numFmtId="0" fontId="6" fillId="0" borderId="0" xfId="0" applyFont="1" applyAlignment="1">
      <alignment readingOrder="1"/>
    </xf>
    <xf numFmtId="49" fontId="1" fillId="2" borderId="2" xfId="0" applyNumberFormat="1" applyFont="1" applyFill="1" applyBorder="1" applyAlignment="1">
      <alignment readingOrder="1"/>
    </xf>
    <xf numFmtId="49" fontId="4" fillId="0" borderId="0" xfId="0" applyNumberFormat="1" applyFont="1" applyAlignment="1">
      <alignment readingOrder="1"/>
    </xf>
    <xf numFmtId="49" fontId="2" fillId="0" borderId="0" xfId="0" applyNumberFormat="1" applyFont="1" applyAlignment="1">
      <alignment readingOrder="1"/>
    </xf>
    <xf numFmtId="14" fontId="7" fillId="0" borderId="0" xfId="0" applyNumberFormat="1" applyFont="1" applyAlignment="1">
      <alignment readingOrder="1"/>
    </xf>
    <xf numFmtId="43" fontId="2" fillId="0" borderId="0" xfId="1" applyFont="1" applyAlignment="1">
      <alignment readingOrder="1"/>
    </xf>
    <xf numFmtId="43" fontId="2" fillId="0" borderId="0" xfId="1" applyFont="1" applyFill="1" applyAlignment="1">
      <alignment readingOrder="1"/>
    </xf>
    <xf numFmtId="43" fontId="0" fillId="0" borderId="0" xfId="1" applyFont="1" applyFill="1"/>
    <xf numFmtId="4" fontId="9" fillId="0" borderId="0" xfId="0" applyNumberFormat="1" applyFont="1" applyAlignment="1">
      <alignment readingOrder="1"/>
    </xf>
    <xf numFmtId="165" fontId="0" fillId="0" borderId="0" xfId="0" applyNumberFormat="1"/>
    <xf numFmtId="164" fontId="0" fillId="0" borderId="0" xfId="0" applyNumberFormat="1"/>
    <xf numFmtId="0" fontId="10" fillId="0" borderId="0" xfId="0" applyFont="1" applyAlignment="1">
      <alignment readingOrder="1"/>
    </xf>
    <xf numFmtId="49" fontId="10" fillId="0" borderId="0" xfId="0" applyNumberFormat="1" applyFont="1" applyAlignment="1">
      <alignment readingOrder="1"/>
    </xf>
    <xf numFmtId="43" fontId="2" fillId="0" borderId="0" xfId="1" applyFont="1" applyFill="1" applyBorder="1" applyAlignment="1">
      <alignment readingOrder="1"/>
    </xf>
    <xf numFmtId="49" fontId="11" fillId="0" borderId="0" xfId="0" applyNumberFormat="1" applyFont="1" applyAlignment="1">
      <alignment readingOrder="1"/>
    </xf>
    <xf numFmtId="4" fontId="12" fillId="0" borderId="0" xfId="0" applyNumberFormat="1" applyFont="1" applyAlignment="1">
      <alignment readingOrder="1"/>
    </xf>
    <xf numFmtId="4" fontId="0" fillId="0" borderId="0" xfId="0" applyNumberFormat="1"/>
    <xf numFmtId="4" fontId="13" fillId="0" borderId="0" xfId="0" applyNumberFormat="1" applyFont="1" applyAlignment="1">
      <alignment readingOrder="1"/>
    </xf>
    <xf numFmtId="4" fontId="14" fillId="0" borderId="0" xfId="0" applyNumberFormat="1" applyFont="1" applyAlignment="1">
      <alignment readingOrder="1"/>
    </xf>
    <xf numFmtId="4" fontId="15" fillId="0" borderId="0" xfId="0" applyNumberFormat="1" applyFont="1" applyAlignment="1">
      <alignment readingOrder="1"/>
    </xf>
  </cellXfs>
  <cellStyles count="2">
    <cellStyle name="Comma" xfId="1" builtinId="3"/>
    <cellStyle name="Normal" xfId="0" builtinId="0"/>
  </cellStyles>
  <dxfs count="30">
    <dxf>
      <fill>
        <patternFill patternType="none">
          <bgColor auto="1"/>
        </patternFill>
      </fill>
    </dxf>
    <dxf>
      <numFmt numFmtId="4" formatCode="#,##0.00"/>
      <fill>
        <patternFill patternType="none">
          <bgColor auto="1"/>
        </patternFill>
      </fill>
    </dxf>
    <dxf>
      <numFmt numFmtId="4" formatCode="#,##0.00"/>
      <fill>
        <patternFill patternType="none">
          <bgColor auto="1"/>
        </patternFill>
      </fill>
    </dxf>
    <dxf>
      <numFmt numFmtId="30" formatCode="@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charset val="1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1"/>
    </dxf>
    <dxf>
      <numFmt numFmtId="30" formatCode="@"/>
    </dxf>
    <dxf>
      <numFmt numFmtId="30" formatCode="@"/>
    </dxf>
    <dxf>
      <numFmt numFmtId="30" formatCode="@"/>
    </dxf>
    <dxf>
      <numFmt numFmtId="164" formatCode="m/d/yyyy"/>
    </dxf>
    <dxf>
      <numFmt numFmtId="30" formatCode="@"/>
    </dxf>
    <dxf>
      <numFmt numFmtId="30" formatCode="@"/>
    </dxf>
    <dxf>
      <numFmt numFmtId="165" formatCode="m/d/yyyy\ h:mm"/>
    </dxf>
    <dxf>
      <numFmt numFmtId="165" formatCode="m/d/yyyy\ h:mm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charset val="1"/>
        <scheme val="none"/>
      </font>
      <numFmt numFmtId="4" formatCode="#,##0.00"/>
      <fill>
        <patternFill patternType="none">
          <fgColor indexed="64"/>
          <bgColor rgb="FFF6F8F9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charset val="1"/>
        <scheme val="none"/>
      </font>
      <numFmt numFmtId="4" formatCode="#,##0.00"/>
      <fill>
        <patternFill patternType="none">
          <fgColor indexed="64"/>
          <bgColor rgb="FFF6F8F9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charset val="1"/>
        <scheme val="none"/>
      </font>
      <numFmt numFmtId="4" formatCode="#,##0.00"/>
      <fill>
        <patternFill patternType="none">
          <fgColor indexed="64"/>
          <bgColor rgb="FFF6F8F9"/>
        </patternFill>
      </fill>
      <alignment horizontal="general" vertical="bottom" textRotation="0" wrapText="0" indent="0" justifyLastLine="0" shrinkToFit="0" readingOrder="1"/>
    </dxf>
    <dxf>
      <numFmt numFmtId="30" formatCode="@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9" formatCode="dd/mm/yy"/>
      <fill>
        <patternFill patternType="none"/>
      </fill>
    </dxf>
    <dxf>
      <border outline="0">
        <top style="thin">
          <color rgb="FFCCCCCC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ill>
        <patternFill patternType="none"/>
      </fill>
    </dxf>
    <dxf>
      <border outline="0">
        <bottom style="thin">
          <color rgb="FF284E3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charset val="1"/>
        <scheme val="none"/>
      </font>
      <fill>
        <patternFill patternType="solid">
          <fgColor indexed="64"/>
          <bgColor rgb="FF356854"/>
        </patternFill>
      </fill>
      <alignment horizontal="general" vertical="bottom" textRotation="0" wrapText="0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I137" totalsRowShown="0">
  <autoFilter ref="A1:I137" xr:uid="{00000000-0009-0000-0100-000001000000}"/>
  <tableColumns count="9">
    <tableColumn id="1" xr3:uid="{00000000-0010-0000-0000-000001000000}" name="Id" dataDxfId="17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6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15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Email" dataDxfId="14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3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Date" dataDxfId="12">
      <extLst>
        <ext xmlns:xlmsforms="http://schemas.microsoft.com/office/spreadsheetml/2023/msForms" uri="{FCC71383-01E1-4257-9335-427F07BE8D7F}">
          <xlmsforms:question id="r1d913a64bc3d4402b52dbcfc91646290"/>
        </ext>
      </extLst>
    </tableColumn>
    <tableColumn id="7" xr3:uid="{00000000-0010-0000-0000-000007000000}" name="Amount" dataDxfId="11">
      <extLst>
        <ext xmlns:xlmsforms="http://schemas.microsoft.com/office/spreadsheetml/2023/msForms" uri="{FCC71383-01E1-4257-9335-427F07BE8D7F}">
          <xlmsforms:question id="r00e163414bd5474aa85a40d91ab76f16"/>
        </ext>
      </extLst>
    </tableColumn>
    <tableColumn id="8" xr3:uid="{00000000-0010-0000-0000-000008000000}" name="Spender" dataDxfId="10">
      <extLst>
        <ext xmlns:xlmsforms="http://schemas.microsoft.com/office/spreadsheetml/2023/msForms" uri="{FCC71383-01E1-4257-9335-427F07BE8D7F}">
          <xlmsforms:question id="r3d87cbbe4a104b7b86f9789b5c499ca0"/>
        </ext>
      </extLst>
    </tableColumn>
    <tableColumn id="9" xr3:uid="{00000000-0010-0000-0000-000009000000}" name="Remark" dataDxfId="9">
      <extLst>
        <ext xmlns:xlmsforms="http://schemas.microsoft.com/office/spreadsheetml/2023/msForms" uri="{FCC71383-01E1-4257-9335-427F07BE8D7F}">
          <xlmsforms:question id="re01c0299fedb474f963f883982c1dcb0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ROU-AbohGESTSYKo_QkurFX4vIpsPFhJmOEf3DDHMYFUQ0pORlQwNlJaMlBNRkJCQ0tRQUlVR0hMVC4u" isFormConnected="1" maxResponseId="140" latestEventMarker="139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r1d913a64bc3d4402b52dbcfc91646290</xlmsforms:syncedQuestionId>
        <xlmsforms:syncedQuestionId>r00e163414bd5474aa85a40d91ab76f16</xlmsforms:syncedQuestionId>
        <xlmsforms:syncedQuestionId>r3d87cbbe4a104b7b86f9789b5c499ca0</xlmsforms:syncedQuestionId>
        <xlmsforms:syncedQuestionId>re01c0299fedb474f963f883982c1dcb0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DE98D1-C468-4CCF-91B0-E83873D34460}" name="Table2" displayName="Table2" ref="A1:G303" totalsRowShown="0" headerRowDxfId="29" dataDxfId="27" headerRowBorderDxfId="28" tableBorderDxfId="26" totalsRowBorderDxfId="25">
  <autoFilter ref="A1:G303" xr:uid="{C5DE98D1-C468-4CCF-91B0-E83873D34460}"/>
  <tableColumns count="7">
    <tableColumn id="1" xr3:uid="{409B0FE3-BDB9-403D-B467-3A1F73BB5706}" name="Date" dataDxfId="24"/>
    <tableColumn id="2" xr3:uid="{AEB5F5FF-52A4-4521-A387-56E9344EE610}" name="Amount" dataDxfId="23" dataCellStyle="Comma"/>
    <tableColumn id="3" xr3:uid="{38CE091F-1DCC-40B7-8DAC-77E0A4133B72}" name="Spender" dataDxfId="22"/>
    <tableColumn id="4" xr3:uid="{9B14D4A1-32E5-4431-A511-59EABDB75D8C}" name="Remark" dataDxfId="21"/>
    <tableColumn id="5" xr3:uid="{8900209C-1C1B-4E4D-93F6-4EB9F9F8D09E}" name="My Actual Balance" dataDxfId="20">
      <calculatedColumnFormula>IF(Table2[[#This Row],[Spender]]="YEONG",OFFSET(Table2[[#This Row],[My Actual Balance]],-1,0)-Table2[[#This Row],[Amount]],OFFSET(Table2[[#This Row],[My Actual Balance]],-1,0))</calculatedColumnFormula>
    </tableColumn>
    <tableColumn id="6" xr3:uid="{903F2C98-01CF-47E4-8879-3716BD055F66}" name="MV Balance" dataDxfId="19">
      <calculatedColumnFormula>IF(Table2[[#This Row],[Spender]]="MV",OFFSET(Table2[[#This Row],[MV Balance]],-1,0)-Table2[[#This Row],[Amount]],OFFSET(Table2[[#This Row],[MV Balance]],-1,0))</calculatedColumnFormula>
    </tableColumn>
    <tableColumn id="7" xr3:uid="{BA17F685-48F1-47CA-BF08-BB862B5C8B76}" name="Bank Balance" dataDxfId="18">
      <calculatedColumnFormula>SUM(E2:F2)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50AE72-2AF6-490F-85F6-D95422ABFE18}" name="Table3" displayName="Table3" ref="A1:G24" totalsRowShown="0" headerRowDxfId="8" dataDxfId="7">
  <autoFilter ref="A1:G24" xr:uid="{5150AE72-2AF6-490F-85F6-D95422ABFE18}"/>
  <tableColumns count="7">
    <tableColumn id="1" xr3:uid="{0A0798F0-9BC2-4390-B42F-3C217F37AD56}" name="Date" dataDxfId="6"/>
    <tableColumn id="2" xr3:uid="{9D971A7B-9007-42D9-A25B-5C5CCA7E14C0}" name="Amount" dataDxfId="5"/>
    <tableColumn id="3" xr3:uid="{31368099-ACFB-4BAB-8B23-31F23538123D}" name="Spender" dataDxfId="4"/>
    <tableColumn id="4" xr3:uid="{502FD9AA-1FBE-49BD-A716-6EAE9D7B3560}" name="Remark" dataDxfId="3"/>
    <tableColumn id="5" xr3:uid="{DE558EF9-CBB7-42C5-845C-3A6BAE12148A}" name="My Actual Balance" dataDxfId="2">
      <calculatedColumnFormula>IF(Table3[[#This Row],[Spender]]="YEONG",OFFSET(Table3[[#This Row],[My Actual Balance]],-1,0)-Table3[[#This Row],[Amount]],OFFSET(Table3[[#This Row],[My Actual Balance]],-1,0))</calculatedColumnFormula>
    </tableColumn>
    <tableColumn id="6" xr3:uid="{5FA83063-5CD6-44AF-A06E-38DD50802293}" name="MV Balance" dataDxfId="1">
      <calculatedColumnFormula>IF(Table3[[#This Row],[Spender]]="MV",OFFSET(Table3[[#This Row],[MV Balance]],-1,0)-Table3[[#This Row],[Amount]],OFFSET(Table3[[#This Row],[MV Balance]],-1,0))</calculatedColumnFormula>
    </tableColumn>
    <tableColumn id="7" xr3:uid="{DA7DF3E4-A199-4A04-AAC8-00830ABD9B3E}" name="Bank Balance" dataDxfId="0">
      <calculatedColumnFormula>SUM(E2:F2)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workbookViewId="0"/>
  </sheetViews>
  <sheetFormatPr defaultRowHeight="14.25" x14ac:dyDescent="0.45"/>
  <cols>
    <col min="1" max="1" width="20.06640625" bestFit="1" customWidth="1"/>
    <col min="2" max="3" width="20.06640625" style="2" bestFit="1" customWidth="1"/>
    <col min="4" max="5" width="20.06640625" bestFit="1" customWidth="1"/>
    <col min="6" max="6" width="20.06640625" style="1" bestFit="1" customWidth="1"/>
    <col min="7" max="9" width="20.06640625" bestFit="1" customWidth="1"/>
  </cols>
  <sheetData>
    <row r="1" spans="1:9" x14ac:dyDescent="0.45">
      <c r="A1" t="s">
        <v>0</v>
      </c>
      <c r="B1" s="2" t="s">
        <v>1</v>
      </c>
      <c r="C1" s="2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</row>
    <row r="2" spans="1:9" x14ac:dyDescent="0.45">
      <c r="A2">
        <v>5</v>
      </c>
      <c r="B2" s="2">
        <v>45818.606296296297</v>
      </c>
      <c r="C2" s="2">
        <v>45818.606412036999</v>
      </c>
      <c r="D2" s="3" t="s">
        <v>9</v>
      </c>
      <c r="E2" s="3"/>
      <c r="F2" s="1">
        <v>45818</v>
      </c>
      <c r="G2" s="4" t="s">
        <v>10</v>
      </c>
      <c r="H2" s="3" t="s">
        <v>11</v>
      </c>
      <c r="I2" s="3"/>
    </row>
    <row r="3" spans="1:9" x14ac:dyDescent="0.45">
      <c r="A3">
        <v>6</v>
      </c>
      <c r="B3" s="2">
        <v>45819.5545949074</v>
      </c>
      <c r="C3" s="2">
        <v>45819.554803240702</v>
      </c>
      <c r="D3" s="3" t="s">
        <v>9</v>
      </c>
      <c r="E3" s="3"/>
      <c r="F3" s="1">
        <v>45819</v>
      </c>
      <c r="G3" s="4" t="s">
        <v>12</v>
      </c>
      <c r="H3" s="3" t="s">
        <v>11</v>
      </c>
      <c r="I3" s="3" t="s">
        <v>13</v>
      </c>
    </row>
    <row r="4" spans="1:9" x14ac:dyDescent="0.45">
      <c r="A4">
        <v>7</v>
      </c>
      <c r="B4" s="2">
        <v>45825.651724536998</v>
      </c>
      <c r="C4" s="2">
        <v>45825.651875000003</v>
      </c>
      <c r="D4" s="3" t="s">
        <v>9</v>
      </c>
      <c r="E4" s="3"/>
      <c r="F4" s="1">
        <v>45825</v>
      </c>
      <c r="G4" s="4" t="s">
        <v>14</v>
      </c>
      <c r="H4" s="3" t="s">
        <v>11</v>
      </c>
      <c r="I4" s="3" t="s">
        <v>15</v>
      </c>
    </row>
    <row r="5" spans="1:9" x14ac:dyDescent="0.45">
      <c r="A5">
        <v>8</v>
      </c>
      <c r="B5" s="2">
        <v>45825.654432870397</v>
      </c>
      <c r="C5" s="2">
        <v>45825.657569444404</v>
      </c>
      <c r="D5" s="3" t="s">
        <v>9</v>
      </c>
      <c r="E5" s="3"/>
      <c r="F5" s="1">
        <v>45825</v>
      </c>
      <c r="G5" s="4" t="s">
        <v>16</v>
      </c>
      <c r="H5" s="3" t="s">
        <v>11</v>
      </c>
      <c r="I5" s="3" t="s">
        <v>17</v>
      </c>
    </row>
    <row r="6" spans="1:9" x14ac:dyDescent="0.45">
      <c r="A6">
        <v>9</v>
      </c>
      <c r="B6" s="2">
        <v>45828.689502314803</v>
      </c>
      <c r="C6" s="2">
        <v>45828.689664351899</v>
      </c>
      <c r="D6" s="3" t="s">
        <v>9</v>
      </c>
      <c r="E6" s="3"/>
      <c r="F6" s="1">
        <v>45828</v>
      </c>
      <c r="G6" s="4" t="s">
        <v>18</v>
      </c>
      <c r="H6" s="3" t="s">
        <v>11</v>
      </c>
      <c r="I6" s="4" t="s">
        <v>19</v>
      </c>
    </row>
    <row r="7" spans="1:9" x14ac:dyDescent="0.45">
      <c r="A7">
        <v>10</v>
      </c>
      <c r="B7" s="2">
        <v>45828.689675925903</v>
      </c>
      <c r="C7" s="2">
        <v>45828.6897916667</v>
      </c>
      <c r="D7" s="3" t="s">
        <v>9</v>
      </c>
      <c r="E7" s="3"/>
      <c r="F7" s="1">
        <v>45828</v>
      </c>
      <c r="G7" s="4" t="s">
        <v>20</v>
      </c>
      <c r="H7" s="3" t="s">
        <v>11</v>
      </c>
      <c r="I7" s="4" t="s">
        <v>21</v>
      </c>
    </row>
    <row r="8" spans="1:9" x14ac:dyDescent="0.45">
      <c r="A8">
        <v>11</v>
      </c>
      <c r="B8" s="2">
        <v>45828.689826388902</v>
      </c>
      <c r="C8" s="2">
        <v>45828.690462963001</v>
      </c>
      <c r="D8" s="3" t="s">
        <v>9</v>
      </c>
      <c r="E8" s="3"/>
      <c r="F8" s="1">
        <v>45828</v>
      </c>
      <c r="G8" s="4" t="s">
        <v>22</v>
      </c>
      <c r="H8" s="3" t="s">
        <v>11</v>
      </c>
      <c r="I8" s="4" t="s">
        <v>23</v>
      </c>
    </row>
    <row r="9" spans="1:9" x14ac:dyDescent="0.45">
      <c r="A9">
        <v>12</v>
      </c>
      <c r="B9" s="2">
        <v>45828.690798611096</v>
      </c>
      <c r="C9" s="2">
        <v>45828.691215277802</v>
      </c>
      <c r="D9" s="3" t="s">
        <v>9</v>
      </c>
      <c r="E9" s="3"/>
      <c r="F9" s="1">
        <v>45828</v>
      </c>
      <c r="G9" s="4" t="s">
        <v>24</v>
      </c>
      <c r="H9" s="3" t="s">
        <v>11</v>
      </c>
      <c r="I9" s="4" t="s">
        <v>25</v>
      </c>
    </row>
    <row r="10" spans="1:9" x14ac:dyDescent="0.45">
      <c r="A10">
        <v>13</v>
      </c>
      <c r="B10" s="2">
        <v>45828.691342592603</v>
      </c>
      <c r="C10" s="2">
        <v>45828.691863425898</v>
      </c>
      <c r="D10" s="3" t="s">
        <v>9</v>
      </c>
      <c r="E10" s="3"/>
      <c r="F10" s="1">
        <v>45828</v>
      </c>
      <c r="G10" s="4" t="s">
        <v>26</v>
      </c>
      <c r="H10" s="3" t="s">
        <v>11</v>
      </c>
      <c r="I10" s="4" t="s">
        <v>27</v>
      </c>
    </row>
    <row r="11" spans="1:9" x14ac:dyDescent="0.45">
      <c r="A11">
        <v>14</v>
      </c>
      <c r="B11" s="2">
        <v>45834.637592592597</v>
      </c>
      <c r="C11" s="2">
        <v>45834.637696759302</v>
      </c>
      <c r="D11" s="3" t="s">
        <v>9</v>
      </c>
      <c r="E11" s="3"/>
      <c r="F11" s="1">
        <v>45834</v>
      </c>
      <c r="G11" s="4" t="s">
        <v>28</v>
      </c>
      <c r="H11" s="3" t="s">
        <v>11</v>
      </c>
      <c r="I11" s="4"/>
    </row>
    <row r="12" spans="1:9" x14ac:dyDescent="0.45">
      <c r="A12">
        <v>15</v>
      </c>
      <c r="B12" s="2">
        <v>45834.873344907399</v>
      </c>
      <c r="C12" s="2">
        <v>45834.873506944401</v>
      </c>
      <c r="D12" s="3" t="s">
        <v>9</v>
      </c>
      <c r="E12" s="3"/>
      <c r="F12" s="1">
        <v>45834</v>
      </c>
      <c r="G12" s="4" t="s">
        <v>29</v>
      </c>
      <c r="H12" s="3" t="s">
        <v>30</v>
      </c>
      <c r="I12" s="4" t="s">
        <v>31</v>
      </c>
    </row>
    <row r="13" spans="1:9" x14ac:dyDescent="0.45">
      <c r="A13">
        <v>16</v>
      </c>
      <c r="B13" s="2">
        <v>45834.875347222202</v>
      </c>
      <c r="C13" s="2">
        <v>45834.875590277799</v>
      </c>
      <c r="D13" s="3" t="s">
        <v>9</v>
      </c>
      <c r="E13" s="3"/>
      <c r="F13" s="1">
        <v>45834</v>
      </c>
      <c r="G13" s="4" t="s">
        <v>32</v>
      </c>
      <c r="H13" s="3" t="s">
        <v>30</v>
      </c>
      <c r="I13" s="4" t="s">
        <v>33</v>
      </c>
    </row>
    <row r="14" spans="1:9" x14ac:dyDescent="0.45">
      <c r="A14">
        <v>17</v>
      </c>
      <c r="B14" s="2">
        <v>45837.740150463003</v>
      </c>
      <c r="C14" s="2">
        <v>45837.740405092598</v>
      </c>
      <c r="D14" s="3" t="s">
        <v>9</v>
      </c>
      <c r="E14" s="3"/>
      <c r="F14" s="1">
        <v>45837</v>
      </c>
      <c r="G14" s="4" t="s">
        <v>29</v>
      </c>
      <c r="H14" s="3" t="s">
        <v>30</v>
      </c>
      <c r="I14" s="4" t="s">
        <v>15</v>
      </c>
    </row>
    <row r="15" spans="1:9" x14ac:dyDescent="0.45">
      <c r="A15">
        <v>18</v>
      </c>
      <c r="B15" s="2">
        <v>45837.784664351901</v>
      </c>
      <c r="C15" s="2">
        <v>45837.785428240699</v>
      </c>
      <c r="D15" s="3" t="s">
        <v>9</v>
      </c>
      <c r="E15" s="3"/>
      <c r="F15" s="1">
        <v>45837</v>
      </c>
      <c r="G15" s="4" t="s">
        <v>34</v>
      </c>
      <c r="H15" s="3" t="s">
        <v>30</v>
      </c>
      <c r="I15" s="4" t="s">
        <v>35</v>
      </c>
    </row>
    <row r="16" spans="1:9" x14ac:dyDescent="0.45">
      <c r="A16">
        <v>19</v>
      </c>
      <c r="B16" s="2">
        <v>45839.629108796304</v>
      </c>
      <c r="C16" s="2">
        <v>45839.629317129598</v>
      </c>
      <c r="D16" s="3" t="s">
        <v>9</v>
      </c>
      <c r="E16" s="3"/>
      <c r="F16" s="1">
        <v>45839</v>
      </c>
      <c r="G16" s="4" t="s">
        <v>14</v>
      </c>
      <c r="H16" s="3" t="s">
        <v>11</v>
      </c>
      <c r="I16" s="4"/>
    </row>
    <row r="17" spans="1:9" x14ac:dyDescent="0.45">
      <c r="A17">
        <v>20</v>
      </c>
      <c r="B17" s="2">
        <v>45841.694780092599</v>
      </c>
      <c r="C17" s="2">
        <v>45841.694976851897</v>
      </c>
      <c r="D17" s="3" t="s">
        <v>9</v>
      </c>
      <c r="E17" s="3"/>
      <c r="F17" s="1">
        <v>45841</v>
      </c>
      <c r="G17" s="4" t="s">
        <v>36</v>
      </c>
      <c r="H17" s="3" t="s">
        <v>11</v>
      </c>
      <c r="I17" s="4" t="s">
        <v>37</v>
      </c>
    </row>
    <row r="18" spans="1:9" x14ac:dyDescent="0.45">
      <c r="A18">
        <v>21</v>
      </c>
      <c r="B18" s="2">
        <v>45841.696516203701</v>
      </c>
      <c r="C18" s="2">
        <v>45841.696643518502</v>
      </c>
      <c r="D18" s="3" t="s">
        <v>9</v>
      </c>
      <c r="E18" s="3"/>
      <c r="F18" s="1">
        <v>45841</v>
      </c>
      <c r="G18" s="4" t="s">
        <v>38</v>
      </c>
      <c r="H18" s="3" t="s">
        <v>11</v>
      </c>
      <c r="I18" s="4" t="s">
        <v>39</v>
      </c>
    </row>
    <row r="19" spans="1:9" x14ac:dyDescent="0.45">
      <c r="A19">
        <v>22</v>
      </c>
      <c r="B19" s="2">
        <v>45842.435671296298</v>
      </c>
      <c r="C19" s="2">
        <v>45842.435775462996</v>
      </c>
      <c r="D19" s="3" t="s">
        <v>9</v>
      </c>
      <c r="E19" s="3"/>
      <c r="F19" s="1">
        <v>45842</v>
      </c>
      <c r="G19" s="4" t="s">
        <v>34</v>
      </c>
      <c r="H19" s="3" t="s">
        <v>30</v>
      </c>
      <c r="I19" s="4" t="s">
        <v>15</v>
      </c>
    </row>
    <row r="20" spans="1:9" x14ac:dyDescent="0.45">
      <c r="A20">
        <v>23</v>
      </c>
      <c r="B20" s="2">
        <v>45842.7078819444</v>
      </c>
      <c r="C20" s="2">
        <v>45842.7081944444</v>
      </c>
      <c r="D20" s="3" t="s">
        <v>9</v>
      </c>
      <c r="E20" s="3"/>
      <c r="F20" s="1">
        <v>45842</v>
      </c>
      <c r="G20" s="4" t="s">
        <v>40</v>
      </c>
      <c r="H20" s="3" t="s">
        <v>30</v>
      </c>
      <c r="I20" s="4" t="s">
        <v>41</v>
      </c>
    </row>
    <row r="21" spans="1:9" x14ac:dyDescent="0.45">
      <c r="A21">
        <v>24</v>
      </c>
      <c r="B21" s="2">
        <v>45843.881851851896</v>
      </c>
      <c r="C21" s="2">
        <v>45843.8820023148</v>
      </c>
      <c r="D21" s="3" t="s">
        <v>9</v>
      </c>
      <c r="E21" s="3"/>
      <c r="F21" s="1">
        <v>45843</v>
      </c>
      <c r="G21" s="4" t="s">
        <v>34</v>
      </c>
      <c r="H21" s="3" t="s">
        <v>30</v>
      </c>
      <c r="I21" s="4" t="s">
        <v>15</v>
      </c>
    </row>
    <row r="22" spans="1:9" x14ac:dyDescent="0.45">
      <c r="A22">
        <v>25</v>
      </c>
      <c r="B22" s="2">
        <v>45846.665717592601</v>
      </c>
      <c r="C22" s="2">
        <v>45846.6660416667</v>
      </c>
      <c r="D22" s="3" t="s">
        <v>9</v>
      </c>
      <c r="E22" s="3"/>
      <c r="F22" s="1">
        <v>45846</v>
      </c>
      <c r="G22" s="4" t="s">
        <v>42</v>
      </c>
      <c r="H22" s="3" t="s">
        <v>30</v>
      </c>
      <c r="I22" s="4" t="s">
        <v>43</v>
      </c>
    </row>
    <row r="23" spans="1:9" x14ac:dyDescent="0.45">
      <c r="A23">
        <v>26</v>
      </c>
      <c r="B23" s="2">
        <v>45846.668275463002</v>
      </c>
      <c r="C23" s="2">
        <v>45846.668576388904</v>
      </c>
      <c r="D23" s="3" t="s">
        <v>9</v>
      </c>
      <c r="E23" s="3"/>
      <c r="F23" s="1">
        <v>45846</v>
      </c>
      <c r="G23" s="4" t="s">
        <v>44</v>
      </c>
      <c r="H23" s="3" t="s">
        <v>11</v>
      </c>
      <c r="I23" s="4" t="s">
        <v>45</v>
      </c>
    </row>
    <row r="24" spans="1:9" x14ac:dyDescent="0.45">
      <c r="A24">
        <v>27</v>
      </c>
      <c r="B24" s="2">
        <v>45848.699849536999</v>
      </c>
      <c r="C24" s="2">
        <v>45848.700127314798</v>
      </c>
      <c r="D24" s="3" t="s">
        <v>9</v>
      </c>
      <c r="E24" s="3"/>
      <c r="F24" s="1">
        <v>45848</v>
      </c>
      <c r="G24" s="4" t="s">
        <v>46</v>
      </c>
      <c r="H24" s="3" t="s">
        <v>30</v>
      </c>
      <c r="I24" s="4" t="s">
        <v>47</v>
      </c>
    </row>
    <row r="25" spans="1:9" x14ac:dyDescent="0.45">
      <c r="A25">
        <v>28</v>
      </c>
      <c r="B25" s="2">
        <v>45849.487465277802</v>
      </c>
      <c r="C25" s="2">
        <v>45849.487581018497</v>
      </c>
      <c r="D25" s="3" t="s">
        <v>9</v>
      </c>
      <c r="E25" s="3"/>
      <c r="F25" s="1">
        <v>45849</v>
      </c>
      <c r="G25" s="4" t="s">
        <v>48</v>
      </c>
      <c r="H25" s="3" t="s">
        <v>11</v>
      </c>
      <c r="I25" s="4" t="s">
        <v>49</v>
      </c>
    </row>
    <row r="26" spans="1:9" x14ac:dyDescent="0.45">
      <c r="A26">
        <v>29</v>
      </c>
      <c r="B26" s="2">
        <v>45850.6081134259</v>
      </c>
      <c r="C26" s="2">
        <v>45850.609259259298</v>
      </c>
      <c r="D26" s="3" t="s">
        <v>9</v>
      </c>
      <c r="E26" s="3"/>
      <c r="F26" s="1">
        <v>45850</v>
      </c>
      <c r="G26" s="4" t="s">
        <v>50</v>
      </c>
      <c r="H26" s="3" t="s">
        <v>11</v>
      </c>
      <c r="I26" s="4" t="s">
        <v>51</v>
      </c>
    </row>
    <row r="27" spans="1:9" x14ac:dyDescent="0.45">
      <c r="A27">
        <v>30</v>
      </c>
      <c r="B27" s="2">
        <v>45850.609293981499</v>
      </c>
      <c r="C27" s="2">
        <v>45850.609444444402</v>
      </c>
      <c r="D27" s="3" t="s">
        <v>9</v>
      </c>
      <c r="E27" s="3"/>
      <c r="F27" s="1">
        <v>45850</v>
      </c>
      <c r="G27" s="4" t="s">
        <v>52</v>
      </c>
      <c r="H27" s="3" t="s">
        <v>11</v>
      </c>
      <c r="I27" s="4" t="s">
        <v>53</v>
      </c>
    </row>
    <row r="28" spans="1:9" x14ac:dyDescent="0.45">
      <c r="A28">
        <v>31</v>
      </c>
      <c r="B28" s="2">
        <v>45850.609293981499</v>
      </c>
      <c r="C28" s="2">
        <v>45850.609664351898</v>
      </c>
      <c r="D28" s="3" t="s">
        <v>9</v>
      </c>
      <c r="E28" s="3"/>
      <c r="F28" s="1">
        <v>45850</v>
      </c>
      <c r="G28" s="4" t="s">
        <v>54</v>
      </c>
      <c r="H28" s="3" t="s">
        <v>11</v>
      </c>
      <c r="I28" s="4" t="s">
        <v>55</v>
      </c>
    </row>
    <row r="29" spans="1:9" x14ac:dyDescent="0.45">
      <c r="A29">
        <v>32</v>
      </c>
      <c r="B29" s="2">
        <v>45852.7585300926</v>
      </c>
      <c r="C29" s="2">
        <v>45852.758958333303</v>
      </c>
      <c r="D29" s="3" t="s">
        <v>9</v>
      </c>
      <c r="E29" s="3"/>
      <c r="F29" s="1">
        <v>45852</v>
      </c>
      <c r="G29" s="4" t="s">
        <v>56</v>
      </c>
      <c r="H29" s="3" t="s">
        <v>11</v>
      </c>
      <c r="I29" s="4" t="s">
        <v>57</v>
      </c>
    </row>
    <row r="30" spans="1:9" x14ac:dyDescent="0.45">
      <c r="A30">
        <v>33</v>
      </c>
      <c r="B30" s="2">
        <v>45853.842430555596</v>
      </c>
      <c r="C30" s="2">
        <v>45853.842997685198</v>
      </c>
      <c r="D30" s="3" t="s">
        <v>9</v>
      </c>
      <c r="E30" s="3"/>
      <c r="F30" s="1">
        <v>45853</v>
      </c>
      <c r="G30" s="4" t="s">
        <v>58</v>
      </c>
      <c r="H30" s="3" t="s">
        <v>11</v>
      </c>
      <c r="I30" s="4" t="s">
        <v>59</v>
      </c>
    </row>
    <row r="31" spans="1:9" x14ac:dyDescent="0.45">
      <c r="A31">
        <v>34</v>
      </c>
      <c r="B31" s="2">
        <v>45855.6187615741</v>
      </c>
      <c r="C31" s="2">
        <v>45855.619317129604</v>
      </c>
      <c r="D31" s="3" t="s">
        <v>9</v>
      </c>
      <c r="E31" s="3"/>
      <c r="F31" s="1">
        <v>45855</v>
      </c>
      <c r="G31" s="4" t="s">
        <v>14</v>
      </c>
      <c r="H31" s="3" t="s">
        <v>11</v>
      </c>
      <c r="I31" s="4" t="s">
        <v>60</v>
      </c>
    </row>
    <row r="32" spans="1:9" x14ac:dyDescent="0.45">
      <c r="A32">
        <v>35</v>
      </c>
      <c r="B32" s="2">
        <v>45856.5073611111</v>
      </c>
      <c r="C32" s="2">
        <v>45856.509039351797</v>
      </c>
      <c r="D32" s="3" t="s">
        <v>9</v>
      </c>
      <c r="E32" s="3"/>
      <c r="F32" s="1">
        <v>45856</v>
      </c>
      <c r="G32" s="4" t="s">
        <v>61</v>
      </c>
      <c r="H32" s="3" t="s">
        <v>11</v>
      </c>
      <c r="I32" s="4" t="s">
        <v>62</v>
      </c>
    </row>
    <row r="33" spans="1:9" x14ac:dyDescent="0.45">
      <c r="A33">
        <v>36</v>
      </c>
      <c r="B33" s="2">
        <v>45856.774618055599</v>
      </c>
      <c r="C33" s="2">
        <v>45856.774976851899</v>
      </c>
      <c r="D33" s="3" t="s">
        <v>9</v>
      </c>
      <c r="E33" s="3"/>
      <c r="F33" s="1">
        <v>45856</v>
      </c>
      <c r="G33" s="4" t="s">
        <v>63</v>
      </c>
      <c r="H33" s="3" t="s">
        <v>11</v>
      </c>
      <c r="I33" s="4" t="s">
        <v>64</v>
      </c>
    </row>
    <row r="34" spans="1:9" x14ac:dyDescent="0.45">
      <c r="A34">
        <v>37</v>
      </c>
      <c r="B34" s="2">
        <v>45861.477835648097</v>
      </c>
      <c r="C34" s="2">
        <v>45861.478020833303</v>
      </c>
      <c r="D34" s="3" t="s">
        <v>9</v>
      </c>
      <c r="E34" s="3"/>
      <c r="F34" s="1">
        <v>45861</v>
      </c>
      <c r="G34" s="4" t="s">
        <v>65</v>
      </c>
      <c r="H34" s="3" t="s">
        <v>11</v>
      </c>
      <c r="I34" s="4" t="s">
        <v>66</v>
      </c>
    </row>
    <row r="35" spans="1:9" x14ac:dyDescent="0.45">
      <c r="A35">
        <v>38</v>
      </c>
      <c r="B35" s="2">
        <v>45861.809236111098</v>
      </c>
      <c r="C35" s="2">
        <v>45861.809351851902</v>
      </c>
      <c r="D35" s="3" t="s">
        <v>9</v>
      </c>
      <c r="E35" s="3"/>
      <c r="F35" s="1">
        <v>45861</v>
      </c>
      <c r="G35" s="4" t="s">
        <v>67</v>
      </c>
      <c r="H35" s="3" t="s">
        <v>30</v>
      </c>
      <c r="I35" s="4" t="s">
        <v>68</v>
      </c>
    </row>
    <row r="36" spans="1:9" x14ac:dyDescent="0.45">
      <c r="A36">
        <v>39</v>
      </c>
      <c r="B36" s="2">
        <v>45863.566840277803</v>
      </c>
      <c r="C36" s="2">
        <v>45863.567835648202</v>
      </c>
      <c r="D36" s="3" t="s">
        <v>9</v>
      </c>
      <c r="E36" s="3"/>
      <c r="F36" s="1">
        <v>45863</v>
      </c>
      <c r="G36" s="4" t="s">
        <v>69</v>
      </c>
      <c r="H36" s="3" t="s">
        <v>11</v>
      </c>
      <c r="I36" s="4" t="s">
        <v>70</v>
      </c>
    </row>
    <row r="37" spans="1:9" x14ac:dyDescent="0.45">
      <c r="A37">
        <v>40</v>
      </c>
      <c r="B37" s="2">
        <v>45863.568090277797</v>
      </c>
      <c r="C37" s="2">
        <v>45863.5682407407</v>
      </c>
      <c r="D37" s="3" t="s">
        <v>9</v>
      </c>
      <c r="E37" s="3"/>
      <c r="F37" s="1">
        <v>45863</v>
      </c>
      <c r="G37" s="4" t="s">
        <v>71</v>
      </c>
      <c r="H37" s="3" t="s">
        <v>11</v>
      </c>
      <c r="I37" s="4" t="s">
        <v>72</v>
      </c>
    </row>
    <row r="38" spans="1:9" x14ac:dyDescent="0.45">
      <c r="A38">
        <v>41</v>
      </c>
      <c r="B38" s="2">
        <v>45864.537002314799</v>
      </c>
      <c r="C38" s="2">
        <v>45864.537604166697</v>
      </c>
      <c r="D38" s="3" t="s">
        <v>9</v>
      </c>
      <c r="E38" s="3"/>
      <c r="F38" s="1">
        <v>45864</v>
      </c>
      <c r="G38" s="4" t="s">
        <v>61</v>
      </c>
      <c r="H38" s="3" t="s">
        <v>11</v>
      </c>
      <c r="I38" s="4" t="s">
        <v>73</v>
      </c>
    </row>
    <row r="39" spans="1:9" x14ac:dyDescent="0.45">
      <c r="A39">
        <v>42</v>
      </c>
      <c r="B39" s="2">
        <v>45864.538576388899</v>
      </c>
      <c r="C39" s="2">
        <v>45864.538865740702</v>
      </c>
      <c r="D39" s="3" t="s">
        <v>9</v>
      </c>
      <c r="E39" s="3"/>
      <c r="F39" s="1">
        <v>45864</v>
      </c>
      <c r="G39" s="4" t="s">
        <v>74</v>
      </c>
      <c r="H39" s="3" t="s">
        <v>11</v>
      </c>
      <c r="I39" s="4" t="s">
        <v>75</v>
      </c>
    </row>
    <row r="40" spans="1:9" x14ac:dyDescent="0.45">
      <c r="A40">
        <v>43</v>
      </c>
      <c r="B40" s="2">
        <v>45867.499062499999</v>
      </c>
      <c r="C40" s="2">
        <v>45867.499293981498</v>
      </c>
      <c r="D40" s="3" t="s">
        <v>9</v>
      </c>
      <c r="E40" s="3"/>
      <c r="F40" s="1">
        <v>45867</v>
      </c>
      <c r="G40" s="4" t="s">
        <v>76</v>
      </c>
      <c r="H40" s="3" t="s">
        <v>11</v>
      </c>
      <c r="I40" s="4" t="s">
        <v>77</v>
      </c>
    </row>
    <row r="41" spans="1:9" x14ac:dyDescent="0.45">
      <c r="A41">
        <v>44</v>
      </c>
      <c r="B41" s="2">
        <v>45867.499756944402</v>
      </c>
      <c r="C41" s="2">
        <v>45867.501504629603</v>
      </c>
      <c r="D41" s="3" t="s">
        <v>9</v>
      </c>
      <c r="E41" s="3"/>
      <c r="F41" s="1">
        <v>45867</v>
      </c>
      <c r="G41" s="4" t="s">
        <v>78</v>
      </c>
      <c r="H41" s="3" t="s">
        <v>11</v>
      </c>
      <c r="I41" s="4" t="s">
        <v>79</v>
      </c>
    </row>
    <row r="42" spans="1:9" x14ac:dyDescent="0.45">
      <c r="A42">
        <v>45</v>
      </c>
      <c r="B42" s="2">
        <v>45870.568888888898</v>
      </c>
      <c r="C42" s="2">
        <v>45870.570011574098</v>
      </c>
      <c r="D42" s="3" t="s">
        <v>9</v>
      </c>
      <c r="E42" s="3"/>
      <c r="F42" s="1">
        <v>45870</v>
      </c>
      <c r="G42" s="4" t="s">
        <v>80</v>
      </c>
      <c r="H42" s="3" t="s">
        <v>11</v>
      </c>
      <c r="I42" s="4" t="s">
        <v>81</v>
      </c>
    </row>
    <row r="43" spans="1:9" x14ac:dyDescent="0.45">
      <c r="A43">
        <v>46</v>
      </c>
      <c r="B43" s="2">
        <v>45875.6300694444</v>
      </c>
      <c r="C43" s="2">
        <v>45875.630266203698</v>
      </c>
      <c r="D43" s="3" t="s">
        <v>9</v>
      </c>
      <c r="E43" s="3"/>
      <c r="F43" s="1">
        <v>45875</v>
      </c>
      <c r="G43" s="4" t="s">
        <v>14</v>
      </c>
      <c r="H43" s="3" t="s">
        <v>11</v>
      </c>
      <c r="I43" s="4" t="s">
        <v>82</v>
      </c>
    </row>
    <row r="44" spans="1:9" x14ac:dyDescent="0.45">
      <c r="A44">
        <v>47</v>
      </c>
      <c r="B44" s="2">
        <v>45875.881168981497</v>
      </c>
      <c r="C44" s="2">
        <v>45875.882013888899</v>
      </c>
      <c r="D44" s="3" t="s">
        <v>9</v>
      </c>
      <c r="E44" s="3"/>
      <c r="F44" s="1">
        <v>45875</v>
      </c>
      <c r="G44" s="4" t="s">
        <v>83</v>
      </c>
      <c r="H44" s="3" t="s">
        <v>11</v>
      </c>
      <c r="I44" s="4" t="s">
        <v>84</v>
      </c>
    </row>
    <row r="45" spans="1:9" x14ac:dyDescent="0.45">
      <c r="A45">
        <v>48</v>
      </c>
      <c r="B45" s="2">
        <v>45876.526076388902</v>
      </c>
      <c r="C45" s="2">
        <v>45876.527430555601</v>
      </c>
      <c r="D45" s="3" t="s">
        <v>9</v>
      </c>
      <c r="E45" s="3"/>
      <c r="F45" s="1">
        <v>45876</v>
      </c>
      <c r="G45" s="4" t="s">
        <v>85</v>
      </c>
      <c r="H45" s="3" t="s">
        <v>11</v>
      </c>
      <c r="I45" s="4" t="s">
        <v>86</v>
      </c>
    </row>
    <row r="46" spans="1:9" x14ac:dyDescent="0.45">
      <c r="A46">
        <v>49</v>
      </c>
      <c r="B46" s="2">
        <v>45877.651736111096</v>
      </c>
      <c r="C46" s="2">
        <v>45877.651967592603</v>
      </c>
      <c r="D46" s="3" t="s">
        <v>9</v>
      </c>
      <c r="E46" s="3"/>
      <c r="F46" s="1">
        <v>45877</v>
      </c>
      <c r="G46" s="4" t="s">
        <v>87</v>
      </c>
      <c r="H46" s="3" t="s">
        <v>11</v>
      </c>
      <c r="I46" s="4" t="s">
        <v>88</v>
      </c>
    </row>
    <row r="47" spans="1:9" x14ac:dyDescent="0.45">
      <c r="A47">
        <v>50</v>
      </c>
      <c r="B47" s="2">
        <v>45878.564039351899</v>
      </c>
      <c r="C47" s="2">
        <v>45878.564189814802</v>
      </c>
      <c r="D47" s="3" t="s">
        <v>9</v>
      </c>
      <c r="E47" s="3"/>
      <c r="F47" s="1">
        <v>45878</v>
      </c>
      <c r="G47" s="4" t="s">
        <v>89</v>
      </c>
      <c r="H47" s="3" t="s">
        <v>11</v>
      </c>
      <c r="I47" s="4" t="s">
        <v>90</v>
      </c>
    </row>
    <row r="48" spans="1:9" x14ac:dyDescent="0.45">
      <c r="A48">
        <v>51</v>
      </c>
      <c r="B48" s="2">
        <v>45878.566435185203</v>
      </c>
      <c r="C48" s="2">
        <v>45878.566620370402</v>
      </c>
      <c r="D48" s="3" t="s">
        <v>9</v>
      </c>
      <c r="E48" s="3"/>
      <c r="F48" s="1">
        <v>45878</v>
      </c>
      <c r="G48" s="4" t="s">
        <v>91</v>
      </c>
      <c r="H48" s="3" t="s">
        <v>11</v>
      </c>
      <c r="I48" s="4" t="s">
        <v>92</v>
      </c>
    </row>
    <row r="49" spans="1:9" x14ac:dyDescent="0.45">
      <c r="A49">
        <v>52</v>
      </c>
      <c r="B49" s="2">
        <v>45880.671527777798</v>
      </c>
      <c r="C49" s="2">
        <v>45880.671666666698</v>
      </c>
      <c r="D49" s="3" t="s">
        <v>9</v>
      </c>
      <c r="E49" s="3"/>
      <c r="F49" s="1">
        <v>45880</v>
      </c>
      <c r="G49" s="4" t="s">
        <v>93</v>
      </c>
      <c r="H49" s="3" t="s">
        <v>11</v>
      </c>
      <c r="I49" s="4" t="s">
        <v>94</v>
      </c>
    </row>
    <row r="50" spans="1:9" x14ac:dyDescent="0.45">
      <c r="A50">
        <v>53</v>
      </c>
      <c r="B50" s="2">
        <v>45883.633773148104</v>
      </c>
      <c r="C50" s="2">
        <v>45883.634016203701</v>
      </c>
      <c r="D50" s="3" t="s">
        <v>9</v>
      </c>
      <c r="E50" s="3"/>
      <c r="F50" s="1">
        <v>45883</v>
      </c>
      <c r="G50" s="4" t="s">
        <v>14</v>
      </c>
      <c r="H50" s="3" t="s">
        <v>11</v>
      </c>
      <c r="I50" s="4" t="s">
        <v>95</v>
      </c>
    </row>
    <row r="51" spans="1:9" x14ac:dyDescent="0.45">
      <c r="A51">
        <v>54</v>
      </c>
      <c r="B51" s="2">
        <v>45884.5792476852</v>
      </c>
      <c r="C51" s="2">
        <v>45884.579363425903</v>
      </c>
      <c r="D51" s="3" t="s">
        <v>9</v>
      </c>
      <c r="E51" s="3"/>
      <c r="F51" s="1">
        <v>45884</v>
      </c>
      <c r="G51" s="4" t="s">
        <v>96</v>
      </c>
      <c r="H51" s="3" t="s">
        <v>11</v>
      </c>
      <c r="I51" s="4" t="s">
        <v>97</v>
      </c>
    </row>
    <row r="52" spans="1:9" x14ac:dyDescent="0.45">
      <c r="A52">
        <v>55</v>
      </c>
      <c r="B52" s="2">
        <v>45886.826226851903</v>
      </c>
      <c r="C52" s="2">
        <v>45886.826388888898</v>
      </c>
      <c r="D52" s="3" t="s">
        <v>9</v>
      </c>
      <c r="E52" s="3"/>
      <c r="F52" s="1">
        <v>45886</v>
      </c>
      <c r="G52" s="4" t="s">
        <v>98</v>
      </c>
      <c r="H52" s="3" t="s">
        <v>11</v>
      </c>
      <c r="I52" s="4" t="s">
        <v>99</v>
      </c>
    </row>
    <row r="53" spans="1:9" x14ac:dyDescent="0.45">
      <c r="A53">
        <v>56</v>
      </c>
      <c r="B53" s="2">
        <v>45888.881481481498</v>
      </c>
      <c r="C53" s="2">
        <v>45888.881631944401</v>
      </c>
      <c r="D53" s="3" t="s">
        <v>9</v>
      </c>
      <c r="E53" s="3"/>
      <c r="F53" s="1">
        <v>45888</v>
      </c>
      <c r="G53" s="4" t="s">
        <v>100</v>
      </c>
      <c r="H53" s="3" t="s">
        <v>11</v>
      </c>
      <c r="I53" s="4" t="s">
        <v>101</v>
      </c>
    </row>
    <row r="54" spans="1:9" x14ac:dyDescent="0.45">
      <c r="A54">
        <v>57</v>
      </c>
      <c r="B54" s="2">
        <v>45888.887210648099</v>
      </c>
      <c r="C54" s="2">
        <v>45888.888090277796</v>
      </c>
      <c r="D54" s="3" t="s">
        <v>9</v>
      </c>
      <c r="E54" s="3"/>
      <c r="F54" s="1">
        <v>45888</v>
      </c>
      <c r="G54" s="4" t="s">
        <v>102</v>
      </c>
      <c r="H54" s="3" t="s">
        <v>11</v>
      </c>
      <c r="I54" s="4" t="s">
        <v>103</v>
      </c>
    </row>
    <row r="55" spans="1:9" x14ac:dyDescent="0.45">
      <c r="A55">
        <v>58</v>
      </c>
      <c r="B55" s="2">
        <v>45888.888275463003</v>
      </c>
      <c r="C55" s="2">
        <v>45888.8883796296</v>
      </c>
      <c r="D55" s="3" t="s">
        <v>9</v>
      </c>
      <c r="E55" s="3"/>
      <c r="F55" s="1">
        <v>45888</v>
      </c>
      <c r="G55" s="4" t="s">
        <v>104</v>
      </c>
      <c r="H55" s="3" t="s">
        <v>11</v>
      </c>
      <c r="I55" s="4" t="s">
        <v>105</v>
      </c>
    </row>
    <row r="56" spans="1:9" x14ac:dyDescent="0.45">
      <c r="A56">
        <v>59</v>
      </c>
      <c r="B56" s="2">
        <v>45892.512094907397</v>
      </c>
      <c r="C56" s="2">
        <v>45892.512268518498</v>
      </c>
      <c r="D56" s="3" t="s">
        <v>9</v>
      </c>
      <c r="E56" s="3"/>
      <c r="F56" s="1">
        <v>45892</v>
      </c>
      <c r="G56" s="4" t="s">
        <v>106</v>
      </c>
      <c r="H56" s="3" t="s">
        <v>30</v>
      </c>
      <c r="I56" s="4" t="s">
        <v>68</v>
      </c>
    </row>
    <row r="57" spans="1:9" x14ac:dyDescent="0.45">
      <c r="A57">
        <v>60</v>
      </c>
      <c r="B57" s="2">
        <v>45894.629467592596</v>
      </c>
      <c r="C57" s="2">
        <v>45894.629699074103</v>
      </c>
      <c r="D57" s="3" t="s">
        <v>9</v>
      </c>
      <c r="E57" s="3"/>
      <c r="F57" s="1">
        <v>45894</v>
      </c>
      <c r="G57" s="4" t="s">
        <v>107</v>
      </c>
      <c r="H57" s="3" t="s">
        <v>11</v>
      </c>
      <c r="I57" s="4" t="s">
        <v>108</v>
      </c>
    </row>
    <row r="58" spans="1:9" x14ac:dyDescent="0.45">
      <c r="A58">
        <v>61</v>
      </c>
      <c r="B58" s="2">
        <v>45894.656238425901</v>
      </c>
      <c r="C58" s="2">
        <v>45894.6563888889</v>
      </c>
      <c r="D58" s="3" t="s">
        <v>9</v>
      </c>
      <c r="E58" s="3"/>
      <c r="F58" s="1">
        <v>45894</v>
      </c>
      <c r="G58" s="4" t="s">
        <v>14</v>
      </c>
      <c r="H58" s="3" t="s">
        <v>11</v>
      </c>
      <c r="I58" s="4" t="s">
        <v>95</v>
      </c>
    </row>
    <row r="59" spans="1:9" x14ac:dyDescent="0.45">
      <c r="A59">
        <v>62</v>
      </c>
      <c r="B59" s="2">
        <v>45896.6022337963</v>
      </c>
      <c r="C59" s="2">
        <v>45896.605520833298</v>
      </c>
      <c r="D59" s="3" t="s">
        <v>9</v>
      </c>
      <c r="E59" s="3"/>
      <c r="F59" s="1">
        <v>45896</v>
      </c>
      <c r="G59" s="4" t="s">
        <v>109</v>
      </c>
      <c r="H59" s="3" t="s">
        <v>11</v>
      </c>
      <c r="I59" s="4" t="s">
        <v>110</v>
      </c>
    </row>
    <row r="60" spans="1:9" x14ac:dyDescent="0.45">
      <c r="A60">
        <v>63</v>
      </c>
      <c r="B60" s="2">
        <v>45896.790601851899</v>
      </c>
      <c r="C60" s="2">
        <v>45896.796168981498</v>
      </c>
      <c r="D60" s="3" t="s">
        <v>9</v>
      </c>
      <c r="E60" s="3"/>
      <c r="F60" s="1">
        <v>45896</v>
      </c>
      <c r="G60" s="4" t="s">
        <v>111</v>
      </c>
      <c r="H60" s="3" t="s">
        <v>11</v>
      </c>
      <c r="I60" s="4" t="s">
        <v>112</v>
      </c>
    </row>
    <row r="61" spans="1:9" x14ac:dyDescent="0.45">
      <c r="A61">
        <v>64</v>
      </c>
      <c r="B61" s="2">
        <v>45897.446412037003</v>
      </c>
      <c r="C61" s="2">
        <v>45897.4474305556</v>
      </c>
      <c r="D61" s="3" t="s">
        <v>9</v>
      </c>
      <c r="E61" s="3"/>
      <c r="F61" s="1">
        <v>45897</v>
      </c>
      <c r="G61" s="4" t="s">
        <v>113</v>
      </c>
      <c r="H61" s="3" t="s">
        <v>11</v>
      </c>
      <c r="I61" s="4" t="s">
        <v>114</v>
      </c>
    </row>
    <row r="62" spans="1:9" x14ac:dyDescent="0.45">
      <c r="A62">
        <v>65</v>
      </c>
      <c r="B62" s="2">
        <v>45897.447870370401</v>
      </c>
      <c r="C62" s="2">
        <v>45897.447974536997</v>
      </c>
      <c r="D62" s="3" t="s">
        <v>9</v>
      </c>
      <c r="E62" s="3"/>
      <c r="F62" s="1">
        <v>45897</v>
      </c>
      <c r="G62" s="4" t="s">
        <v>115</v>
      </c>
      <c r="H62" s="3" t="s">
        <v>11</v>
      </c>
      <c r="I62" s="4" t="s">
        <v>116</v>
      </c>
    </row>
    <row r="63" spans="1:9" x14ac:dyDescent="0.45">
      <c r="A63">
        <v>66</v>
      </c>
      <c r="B63" s="2">
        <v>45897.461192129602</v>
      </c>
      <c r="C63" s="2">
        <v>45897.461377314801</v>
      </c>
      <c r="D63" s="3" t="s">
        <v>9</v>
      </c>
      <c r="E63" s="3"/>
      <c r="F63" s="1">
        <v>45897</v>
      </c>
      <c r="G63" s="4" t="s">
        <v>117</v>
      </c>
      <c r="H63" s="3" t="s">
        <v>11</v>
      </c>
      <c r="I63" s="4" t="s">
        <v>118</v>
      </c>
    </row>
    <row r="64" spans="1:9" x14ac:dyDescent="0.45">
      <c r="A64">
        <v>67</v>
      </c>
      <c r="B64" s="2">
        <v>45898.656805555598</v>
      </c>
      <c r="C64" s="2">
        <v>45898.6569675926</v>
      </c>
      <c r="D64" s="3" t="s">
        <v>9</v>
      </c>
      <c r="E64" s="3"/>
      <c r="F64" s="1">
        <v>45898</v>
      </c>
      <c r="G64" s="4" t="s">
        <v>119</v>
      </c>
      <c r="H64" s="3" t="s">
        <v>30</v>
      </c>
      <c r="I64" s="4" t="s">
        <v>120</v>
      </c>
    </row>
    <row r="65" spans="1:9" x14ac:dyDescent="0.45">
      <c r="A65">
        <v>68</v>
      </c>
      <c r="B65" s="2">
        <v>45899.466701388897</v>
      </c>
      <c r="C65" s="2">
        <v>45899.466851851903</v>
      </c>
      <c r="D65" s="3" t="s">
        <v>9</v>
      </c>
      <c r="E65" s="3"/>
      <c r="F65" s="1">
        <v>45899</v>
      </c>
      <c r="G65" s="4" t="s">
        <v>67</v>
      </c>
      <c r="H65" s="3" t="s">
        <v>30</v>
      </c>
      <c r="I65" s="4" t="s">
        <v>121</v>
      </c>
    </row>
    <row r="66" spans="1:9" x14ac:dyDescent="0.45">
      <c r="A66">
        <v>69</v>
      </c>
      <c r="B66" s="2">
        <v>45899.780914351897</v>
      </c>
      <c r="C66" s="2">
        <v>45899.781076388899</v>
      </c>
      <c r="D66" s="3" t="s">
        <v>9</v>
      </c>
      <c r="E66" s="3"/>
      <c r="F66" s="1">
        <v>45899</v>
      </c>
      <c r="G66" s="4" t="s">
        <v>122</v>
      </c>
      <c r="H66" s="3" t="s">
        <v>11</v>
      </c>
      <c r="I66" s="4" t="s">
        <v>123</v>
      </c>
    </row>
    <row r="67" spans="1:9" x14ac:dyDescent="0.45">
      <c r="A67">
        <v>70</v>
      </c>
      <c r="B67" s="2">
        <v>45902.862650463001</v>
      </c>
      <c r="C67" s="2">
        <v>45902.862835648099</v>
      </c>
      <c r="D67" s="3" t="s">
        <v>9</v>
      </c>
      <c r="E67" s="3"/>
      <c r="F67" s="1">
        <v>45902</v>
      </c>
      <c r="G67" s="4" t="s">
        <v>14</v>
      </c>
      <c r="H67" s="3" t="s">
        <v>11</v>
      </c>
      <c r="I67" s="4" t="s">
        <v>15</v>
      </c>
    </row>
    <row r="68" spans="1:9" x14ac:dyDescent="0.45">
      <c r="A68">
        <v>71</v>
      </c>
      <c r="B68" s="2">
        <v>45903.670543981498</v>
      </c>
      <c r="C68" s="2">
        <v>45903.670717592599</v>
      </c>
      <c r="D68" s="3" t="s">
        <v>9</v>
      </c>
      <c r="E68" s="3"/>
      <c r="F68" s="1">
        <v>45903</v>
      </c>
      <c r="G68" s="4" t="s">
        <v>124</v>
      </c>
      <c r="H68" s="3" t="s">
        <v>11</v>
      </c>
      <c r="I68" s="4" t="s">
        <v>125</v>
      </c>
    </row>
    <row r="69" spans="1:9" x14ac:dyDescent="0.45">
      <c r="A69">
        <v>72</v>
      </c>
      <c r="B69" s="2">
        <v>45904.968229166698</v>
      </c>
      <c r="C69" s="2">
        <v>45904.968449074098</v>
      </c>
      <c r="D69" s="3" t="s">
        <v>9</v>
      </c>
      <c r="E69" s="3"/>
      <c r="F69" s="1">
        <v>45904</v>
      </c>
      <c r="G69" s="4" t="s">
        <v>126</v>
      </c>
      <c r="H69" s="3" t="s">
        <v>30</v>
      </c>
      <c r="I69" s="4" t="s">
        <v>127</v>
      </c>
    </row>
    <row r="70" spans="1:9" x14ac:dyDescent="0.45">
      <c r="A70">
        <v>73</v>
      </c>
      <c r="B70" s="2">
        <v>45905.516400462999</v>
      </c>
      <c r="C70" s="2">
        <v>45905.516562500001</v>
      </c>
      <c r="D70" s="3" t="s">
        <v>9</v>
      </c>
      <c r="E70" s="3"/>
      <c r="F70" s="1">
        <v>45905</v>
      </c>
      <c r="G70" s="4" t="s">
        <v>128</v>
      </c>
      <c r="H70" s="3" t="s">
        <v>11</v>
      </c>
      <c r="I70" s="4" t="s">
        <v>129</v>
      </c>
    </row>
    <row r="71" spans="1:9" x14ac:dyDescent="0.45">
      <c r="A71">
        <v>74</v>
      </c>
      <c r="B71" s="2">
        <v>45905.516597222202</v>
      </c>
      <c r="C71" s="2">
        <v>45905.517210648097</v>
      </c>
      <c r="D71" s="3" t="s">
        <v>9</v>
      </c>
      <c r="E71" s="3"/>
      <c r="F71" s="1">
        <v>45905</v>
      </c>
      <c r="G71" s="4" t="s">
        <v>130</v>
      </c>
      <c r="H71" s="3" t="s">
        <v>11</v>
      </c>
      <c r="I71" s="4" t="s">
        <v>131</v>
      </c>
    </row>
    <row r="72" spans="1:9" x14ac:dyDescent="0.45">
      <c r="A72">
        <v>75</v>
      </c>
      <c r="B72" s="2">
        <v>45905.525949074101</v>
      </c>
      <c r="C72" s="2">
        <v>45905.526250000003</v>
      </c>
      <c r="D72" s="3" t="s">
        <v>9</v>
      </c>
      <c r="E72" s="3"/>
      <c r="F72" s="1">
        <v>45905</v>
      </c>
      <c r="G72" s="4" t="s">
        <v>132</v>
      </c>
      <c r="H72" s="3" t="s">
        <v>11</v>
      </c>
      <c r="I72" s="4" t="s">
        <v>133</v>
      </c>
    </row>
    <row r="73" spans="1:9" x14ac:dyDescent="0.45">
      <c r="A73">
        <v>76</v>
      </c>
      <c r="B73" s="2">
        <v>45910.8065740741</v>
      </c>
      <c r="C73" s="2">
        <v>45910.806817129604</v>
      </c>
      <c r="D73" s="3" t="s">
        <v>9</v>
      </c>
      <c r="E73" s="3"/>
      <c r="F73" s="1">
        <v>45910</v>
      </c>
      <c r="G73" s="4" t="s">
        <v>134</v>
      </c>
      <c r="H73" s="3" t="s">
        <v>11</v>
      </c>
      <c r="I73" s="4" t="s">
        <v>135</v>
      </c>
    </row>
    <row r="74" spans="1:9" x14ac:dyDescent="0.45">
      <c r="A74">
        <v>77</v>
      </c>
      <c r="B74" s="2">
        <v>45910.806921296302</v>
      </c>
      <c r="C74" s="2">
        <v>45910.807326388902</v>
      </c>
      <c r="D74" s="3" t="s">
        <v>9</v>
      </c>
      <c r="E74" s="3"/>
      <c r="F74" s="1">
        <v>45910</v>
      </c>
      <c r="G74" s="4" t="s">
        <v>136</v>
      </c>
      <c r="H74" s="3" t="s">
        <v>11</v>
      </c>
      <c r="I74" s="4" t="s">
        <v>137</v>
      </c>
    </row>
    <row r="75" spans="1:9" x14ac:dyDescent="0.45">
      <c r="A75">
        <v>78</v>
      </c>
      <c r="B75" s="2">
        <v>45912.628090277802</v>
      </c>
      <c r="C75" s="2">
        <v>45912.628252314797</v>
      </c>
      <c r="D75" s="3" t="s">
        <v>9</v>
      </c>
      <c r="E75" s="3"/>
      <c r="F75" s="1">
        <v>45912</v>
      </c>
      <c r="G75" s="4" t="s">
        <v>138</v>
      </c>
      <c r="H75" s="3" t="s">
        <v>11</v>
      </c>
      <c r="I75" s="4" t="s">
        <v>139</v>
      </c>
    </row>
    <row r="76" spans="1:9" x14ac:dyDescent="0.45">
      <c r="A76">
        <v>79</v>
      </c>
      <c r="B76" s="2">
        <v>45912.628587963001</v>
      </c>
      <c r="C76" s="2">
        <v>45912.628680555601</v>
      </c>
      <c r="D76" s="3" t="s">
        <v>9</v>
      </c>
      <c r="E76" s="3"/>
      <c r="F76" s="1">
        <v>45912</v>
      </c>
      <c r="G76" s="4" t="s">
        <v>140</v>
      </c>
      <c r="H76" s="3" t="s">
        <v>11</v>
      </c>
      <c r="I76" s="4" t="s">
        <v>141</v>
      </c>
    </row>
    <row r="77" spans="1:9" x14ac:dyDescent="0.45">
      <c r="A77">
        <v>80</v>
      </c>
      <c r="B77" s="2">
        <v>45919.4849189815</v>
      </c>
      <c r="C77" s="2">
        <v>45919.485081018502</v>
      </c>
      <c r="D77" s="3" t="s">
        <v>9</v>
      </c>
      <c r="E77" s="3"/>
      <c r="F77" s="1">
        <v>45919</v>
      </c>
      <c r="G77" s="4" t="s">
        <v>142</v>
      </c>
      <c r="H77" s="3" t="s">
        <v>11</v>
      </c>
      <c r="I77" s="4" t="s">
        <v>143</v>
      </c>
    </row>
    <row r="78" spans="1:9" x14ac:dyDescent="0.45">
      <c r="A78">
        <v>81</v>
      </c>
      <c r="B78" s="2">
        <v>45922.498460648101</v>
      </c>
      <c r="C78" s="2">
        <v>45922.498564814799</v>
      </c>
      <c r="D78" s="3" t="s">
        <v>9</v>
      </c>
      <c r="E78" s="3"/>
      <c r="F78" s="1">
        <v>45922</v>
      </c>
      <c r="G78" s="4" t="s">
        <v>144</v>
      </c>
      <c r="H78" s="3" t="s">
        <v>11</v>
      </c>
      <c r="I78" s="4" t="s">
        <v>145</v>
      </c>
    </row>
    <row r="79" spans="1:9" x14ac:dyDescent="0.45">
      <c r="A79">
        <v>82</v>
      </c>
      <c r="B79" s="2">
        <v>45924.514085648101</v>
      </c>
      <c r="C79" s="2">
        <v>45924.514791666697</v>
      </c>
      <c r="D79" s="3" t="s">
        <v>9</v>
      </c>
      <c r="E79" s="3"/>
      <c r="F79" s="1">
        <v>45924</v>
      </c>
      <c r="G79" s="4" t="s">
        <v>146</v>
      </c>
      <c r="H79" s="3" t="s">
        <v>11</v>
      </c>
      <c r="I79" s="4" t="s">
        <v>147</v>
      </c>
    </row>
    <row r="80" spans="1:9" x14ac:dyDescent="0.45">
      <c r="A80">
        <v>83</v>
      </c>
      <c r="B80" s="2">
        <v>45925.427534722199</v>
      </c>
      <c r="C80" s="2">
        <v>45925.427696759303</v>
      </c>
      <c r="D80" s="3" t="s">
        <v>9</v>
      </c>
      <c r="E80" s="3"/>
      <c r="F80" s="1">
        <v>45925</v>
      </c>
      <c r="G80" s="4" t="s">
        <v>14</v>
      </c>
      <c r="H80" s="3" t="s">
        <v>11</v>
      </c>
      <c r="I80" s="4" t="s">
        <v>15</v>
      </c>
    </row>
    <row r="81" spans="1:9" x14ac:dyDescent="0.45">
      <c r="A81">
        <v>84</v>
      </c>
      <c r="B81" s="2">
        <v>45925.558749999997</v>
      </c>
      <c r="C81" s="2">
        <v>45925.559016203697</v>
      </c>
      <c r="D81" s="3" t="s">
        <v>9</v>
      </c>
      <c r="E81" s="3"/>
      <c r="F81" s="1">
        <v>45925</v>
      </c>
      <c r="G81" s="4" t="s">
        <v>148</v>
      </c>
      <c r="H81" s="3" t="s">
        <v>11</v>
      </c>
      <c r="I81" s="4" t="s">
        <v>149</v>
      </c>
    </row>
    <row r="82" spans="1:9" x14ac:dyDescent="0.45">
      <c r="A82">
        <v>85</v>
      </c>
      <c r="B82" s="2">
        <v>45925.614502314798</v>
      </c>
      <c r="C82" s="2">
        <v>45925.6149421296</v>
      </c>
      <c r="D82" s="3" t="s">
        <v>9</v>
      </c>
      <c r="E82" s="3"/>
      <c r="F82" s="1">
        <v>45925</v>
      </c>
      <c r="G82" s="4" t="s">
        <v>150</v>
      </c>
      <c r="H82" s="3" t="s">
        <v>11</v>
      </c>
      <c r="I82" s="4" t="s">
        <v>151</v>
      </c>
    </row>
    <row r="83" spans="1:9" x14ac:dyDescent="0.45">
      <c r="A83">
        <v>86</v>
      </c>
      <c r="B83" s="2">
        <v>45940.480046296303</v>
      </c>
      <c r="C83" s="2">
        <v>45940.480289351799</v>
      </c>
      <c r="D83" s="3" t="s">
        <v>9</v>
      </c>
      <c r="E83" s="3"/>
      <c r="F83" s="1">
        <v>45940</v>
      </c>
      <c r="G83" s="4" t="s">
        <v>152</v>
      </c>
      <c r="H83" s="3" t="s">
        <v>11</v>
      </c>
      <c r="I83" s="4" t="s">
        <v>153</v>
      </c>
    </row>
    <row r="84" spans="1:9" x14ac:dyDescent="0.45">
      <c r="A84">
        <v>87</v>
      </c>
      <c r="B84" s="2">
        <v>45940.720034722202</v>
      </c>
      <c r="C84" s="2">
        <v>45940.720162037003</v>
      </c>
      <c r="D84" s="3" t="s">
        <v>9</v>
      </c>
      <c r="E84" s="3"/>
      <c r="F84" s="1">
        <v>45940</v>
      </c>
      <c r="G84" s="4" t="s">
        <v>14</v>
      </c>
      <c r="H84" s="3" t="s">
        <v>11</v>
      </c>
      <c r="I84" s="4" t="s">
        <v>82</v>
      </c>
    </row>
    <row r="85" spans="1:9" x14ac:dyDescent="0.45">
      <c r="A85">
        <v>88</v>
      </c>
      <c r="B85" s="2">
        <v>45942.596030092602</v>
      </c>
      <c r="C85" s="2">
        <v>45942.599664351903</v>
      </c>
      <c r="D85" s="3" t="s">
        <v>9</v>
      </c>
      <c r="E85" s="3"/>
      <c r="F85" s="1">
        <v>45942</v>
      </c>
      <c r="G85" s="4" t="s">
        <v>154</v>
      </c>
      <c r="H85" s="3" t="s">
        <v>11</v>
      </c>
      <c r="I85" s="4" t="s">
        <v>155</v>
      </c>
    </row>
    <row r="86" spans="1:9" x14ac:dyDescent="0.45">
      <c r="A86">
        <v>89</v>
      </c>
      <c r="B86" s="2">
        <v>45943.527083333298</v>
      </c>
      <c r="C86" s="2">
        <v>45943.528043981503</v>
      </c>
      <c r="D86" s="3" t="s">
        <v>9</v>
      </c>
      <c r="E86" s="3"/>
      <c r="F86" s="1">
        <v>45943</v>
      </c>
      <c r="G86" s="4" t="s">
        <v>156</v>
      </c>
      <c r="H86" s="3" t="s">
        <v>11</v>
      </c>
      <c r="I86" s="4" t="s">
        <v>157</v>
      </c>
    </row>
    <row r="87" spans="1:9" x14ac:dyDescent="0.45">
      <c r="A87">
        <v>90</v>
      </c>
      <c r="B87" s="2">
        <v>45943.597465277802</v>
      </c>
      <c r="C87" s="2">
        <v>45943.597604166702</v>
      </c>
      <c r="D87" s="3" t="s">
        <v>9</v>
      </c>
      <c r="E87" s="3"/>
      <c r="F87" s="1">
        <v>45943</v>
      </c>
      <c r="G87" s="4">
        <v>1894.9</v>
      </c>
      <c r="H87" s="3" t="s">
        <v>11</v>
      </c>
      <c r="I87" s="4" t="s">
        <v>158</v>
      </c>
    </row>
    <row r="88" spans="1:9" x14ac:dyDescent="0.45">
      <c r="A88">
        <v>91</v>
      </c>
      <c r="B88" s="2">
        <v>45944.650081018503</v>
      </c>
      <c r="C88" s="2">
        <v>45944.650543981501</v>
      </c>
      <c r="D88" s="3" t="s">
        <v>9</v>
      </c>
      <c r="E88" s="3"/>
      <c r="F88" s="1">
        <v>45944</v>
      </c>
      <c r="G88" s="4" t="s">
        <v>159</v>
      </c>
      <c r="H88" s="3" t="s">
        <v>11</v>
      </c>
      <c r="I88" s="4" t="s">
        <v>160</v>
      </c>
    </row>
    <row r="89" spans="1:9" x14ac:dyDescent="0.45">
      <c r="A89">
        <v>92</v>
      </c>
      <c r="B89" s="2">
        <v>45944.752974536997</v>
      </c>
      <c r="C89" s="2">
        <v>45944.754270833299</v>
      </c>
      <c r="D89" s="3" t="s">
        <v>9</v>
      </c>
      <c r="E89" s="3"/>
      <c r="F89" s="1">
        <v>45944</v>
      </c>
      <c r="G89" s="4" t="s">
        <v>136</v>
      </c>
      <c r="H89" s="3" t="s">
        <v>11</v>
      </c>
      <c r="I89" s="4" t="s">
        <v>161</v>
      </c>
    </row>
    <row r="90" spans="1:9" x14ac:dyDescent="0.45">
      <c r="A90">
        <v>93</v>
      </c>
      <c r="B90" s="2">
        <v>45945.430787037003</v>
      </c>
      <c r="C90" s="2">
        <v>45945.431053240703</v>
      </c>
      <c r="D90" s="3" t="s">
        <v>9</v>
      </c>
      <c r="E90" s="3"/>
      <c r="F90" s="1">
        <v>45945</v>
      </c>
      <c r="G90" s="4" t="s">
        <v>162</v>
      </c>
      <c r="H90" s="3" t="s">
        <v>11</v>
      </c>
      <c r="I90" s="4" t="s">
        <v>163</v>
      </c>
    </row>
    <row r="91" spans="1:9" x14ac:dyDescent="0.45">
      <c r="A91">
        <v>94</v>
      </c>
      <c r="B91" s="2">
        <v>45946.415659722203</v>
      </c>
      <c r="C91" s="2">
        <v>45946.416076388901</v>
      </c>
      <c r="D91" s="3" t="s">
        <v>9</v>
      </c>
      <c r="E91" s="3"/>
      <c r="F91" s="1">
        <v>45946</v>
      </c>
      <c r="G91" s="4" t="s">
        <v>164</v>
      </c>
      <c r="H91" s="3" t="s">
        <v>30</v>
      </c>
      <c r="I91" s="4" t="s">
        <v>68</v>
      </c>
    </row>
    <row r="92" spans="1:9" x14ac:dyDescent="0.45">
      <c r="A92">
        <v>95</v>
      </c>
      <c r="B92" s="2">
        <v>45946.450231481504</v>
      </c>
      <c r="C92" s="2">
        <v>45946.4506944444</v>
      </c>
      <c r="D92" s="3" t="s">
        <v>9</v>
      </c>
      <c r="E92" s="3"/>
      <c r="F92" s="1">
        <v>45946</v>
      </c>
      <c r="G92" s="4" t="s">
        <v>14</v>
      </c>
      <c r="H92" s="3" t="s">
        <v>11</v>
      </c>
      <c r="I92" s="4" t="s">
        <v>15</v>
      </c>
    </row>
    <row r="93" spans="1:9" x14ac:dyDescent="0.45">
      <c r="A93">
        <v>96</v>
      </c>
      <c r="B93" s="2">
        <v>45946.6721412037</v>
      </c>
      <c r="C93" s="2">
        <v>45946.6722800926</v>
      </c>
      <c r="D93" s="3" t="s">
        <v>9</v>
      </c>
      <c r="E93" s="3"/>
      <c r="F93" s="1">
        <v>45946</v>
      </c>
      <c r="G93" s="4" t="s">
        <v>165</v>
      </c>
      <c r="H93" s="3" t="s">
        <v>11</v>
      </c>
      <c r="I93" s="4" t="s">
        <v>166</v>
      </c>
    </row>
    <row r="94" spans="1:9" x14ac:dyDescent="0.45">
      <c r="A94">
        <v>97</v>
      </c>
      <c r="B94" s="2">
        <v>45947.576782407399</v>
      </c>
      <c r="C94" s="2">
        <v>45947.576944444401</v>
      </c>
      <c r="D94" s="3" t="s">
        <v>9</v>
      </c>
      <c r="E94" s="3"/>
      <c r="F94" s="1">
        <v>45947</v>
      </c>
      <c r="G94" s="4" t="s">
        <v>167</v>
      </c>
      <c r="H94" s="3" t="s">
        <v>11</v>
      </c>
      <c r="I94" s="4" t="s">
        <v>168</v>
      </c>
    </row>
    <row r="95" spans="1:9" x14ac:dyDescent="0.45">
      <c r="A95">
        <v>98</v>
      </c>
      <c r="B95" s="2">
        <v>45952.696458333303</v>
      </c>
      <c r="C95" s="2">
        <v>45952.697152777801</v>
      </c>
      <c r="D95" s="3" t="s">
        <v>9</v>
      </c>
      <c r="E95" s="3"/>
      <c r="F95" s="1">
        <v>45952</v>
      </c>
      <c r="G95" s="4" t="s">
        <v>169</v>
      </c>
      <c r="H95" s="3" t="s">
        <v>11</v>
      </c>
      <c r="I95" s="4" t="s">
        <v>170</v>
      </c>
    </row>
    <row r="96" spans="1:9" x14ac:dyDescent="0.45">
      <c r="A96">
        <v>99</v>
      </c>
      <c r="B96" s="2">
        <v>45954.706377314797</v>
      </c>
      <c r="C96" s="2">
        <v>45954.706504629597</v>
      </c>
      <c r="D96" s="3" t="s">
        <v>9</v>
      </c>
      <c r="E96" s="3"/>
      <c r="F96" s="1">
        <v>45954</v>
      </c>
      <c r="G96" s="4" t="s">
        <v>14</v>
      </c>
      <c r="H96" s="3" t="s">
        <v>11</v>
      </c>
      <c r="I96" s="4" t="s">
        <v>15</v>
      </c>
    </row>
    <row r="97" spans="1:9" x14ac:dyDescent="0.45">
      <c r="A97">
        <v>100</v>
      </c>
      <c r="B97" s="2">
        <v>45955.594942129603</v>
      </c>
      <c r="C97" s="2">
        <v>45955.595243055599</v>
      </c>
      <c r="D97" s="3" t="s">
        <v>9</v>
      </c>
      <c r="E97" s="3"/>
      <c r="F97" s="1">
        <v>45955</v>
      </c>
      <c r="G97" s="4" t="s">
        <v>171</v>
      </c>
      <c r="H97" s="3" t="s">
        <v>11</v>
      </c>
      <c r="I97" s="4" t="s">
        <v>172</v>
      </c>
    </row>
    <row r="98" spans="1:9" x14ac:dyDescent="0.45">
      <c r="A98">
        <v>101</v>
      </c>
      <c r="B98" s="2">
        <v>45955.5952777778</v>
      </c>
      <c r="C98" s="2">
        <v>45955.5954166667</v>
      </c>
      <c r="D98" s="3" t="s">
        <v>9</v>
      </c>
      <c r="E98" s="3"/>
      <c r="F98" s="1">
        <v>45955</v>
      </c>
      <c r="G98" s="4" t="s">
        <v>173</v>
      </c>
      <c r="H98" s="3" t="s">
        <v>11</v>
      </c>
      <c r="I98" s="4" t="s">
        <v>174</v>
      </c>
    </row>
    <row r="99" spans="1:9" x14ac:dyDescent="0.45">
      <c r="A99">
        <v>102</v>
      </c>
      <c r="B99" s="2">
        <v>45955.719884259299</v>
      </c>
      <c r="C99" s="2">
        <v>45955.720023148097</v>
      </c>
      <c r="D99" s="3" t="s">
        <v>9</v>
      </c>
      <c r="E99" s="3"/>
      <c r="F99" s="1">
        <v>45955</v>
      </c>
      <c r="G99" s="4" t="s">
        <v>175</v>
      </c>
      <c r="H99" s="3" t="s">
        <v>11</v>
      </c>
      <c r="I99" s="4" t="s">
        <v>176</v>
      </c>
    </row>
    <row r="100" spans="1:9" x14ac:dyDescent="0.45">
      <c r="A100">
        <v>103</v>
      </c>
      <c r="B100" s="2">
        <v>45955.720312500001</v>
      </c>
      <c r="C100" s="2">
        <v>45955.720439814802</v>
      </c>
      <c r="D100" s="3" t="s">
        <v>9</v>
      </c>
      <c r="E100" s="3"/>
      <c r="F100" s="1">
        <v>45955</v>
      </c>
      <c r="G100" s="4" t="s">
        <v>177</v>
      </c>
      <c r="H100" s="3" t="s">
        <v>11</v>
      </c>
      <c r="I100" s="4" t="s">
        <v>178</v>
      </c>
    </row>
    <row r="101" spans="1:9" x14ac:dyDescent="0.45">
      <c r="A101">
        <v>104</v>
      </c>
      <c r="B101" s="2">
        <v>45957.723009259302</v>
      </c>
      <c r="C101" s="2">
        <v>45957.723402777803</v>
      </c>
      <c r="D101" s="3" t="s">
        <v>9</v>
      </c>
      <c r="E101" s="3"/>
      <c r="F101" s="1">
        <v>45957</v>
      </c>
      <c r="G101" s="4" t="s">
        <v>179</v>
      </c>
      <c r="H101" s="3" t="s">
        <v>11</v>
      </c>
      <c r="I101" s="4" t="s">
        <v>180</v>
      </c>
    </row>
    <row r="102" spans="1:9" x14ac:dyDescent="0.45">
      <c r="A102">
        <v>105</v>
      </c>
      <c r="B102" s="2">
        <v>45957.723437499997</v>
      </c>
      <c r="C102" s="2">
        <v>45957.723923611098</v>
      </c>
      <c r="D102" s="3" t="s">
        <v>9</v>
      </c>
      <c r="E102" s="3"/>
      <c r="F102" s="1">
        <v>45957</v>
      </c>
      <c r="G102" s="4" t="s">
        <v>181</v>
      </c>
      <c r="H102" s="3" t="s">
        <v>11</v>
      </c>
      <c r="I102" s="4" t="s">
        <v>182</v>
      </c>
    </row>
    <row r="103" spans="1:9" x14ac:dyDescent="0.45">
      <c r="A103">
        <v>106</v>
      </c>
      <c r="B103" s="2">
        <v>45960.590798611098</v>
      </c>
      <c r="C103" s="2">
        <v>45960.591215277796</v>
      </c>
      <c r="D103" s="3" t="s">
        <v>9</v>
      </c>
      <c r="E103" s="3"/>
      <c r="F103" s="1">
        <v>45960</v>
      </c>
      <c r="G103" s="4" t="s">
        <v>183</v>
      </c>
      <c r="H103" s="3" t="s">
        <v>11</v>
      </c>
      <c r="I103" s="4" t="s">
        <v>184</v>
      </c>
    </row>
    <row r="104" spans="1:9" x14ac:dyDescent="0.45">
      <c r="A104">
        <v>107</v>
      </c>
      <c r="B104" s="2">
        <v>45961.506226851903</v>
      </c>
      <c r="C104" s="2">
        <v>45961.517731481501</v>
      </c>
      <c r="D104" s="3" t="s">
        <v>9</v>
      </c>
      <c r="E104" s="3"/>
      <c r="F104" s="1">
        <v>45961</v>
      </c>
      <c r="G104" s="4" t="s">
        <v>185</v>
      </c>
      <c r="H104" s="3" t="s">
        <v>11</v>
      </c>
      <c r="I104" s="4" t="s">
        <v>186</v>
      </c>
    </row>
    <row r="105" spans="1:9" x14ac:dyDescent="0.45">
      <c r="A105">
        <v>108</v>
      </c>
      <c r="B105" s="2">
        <v>45962.501643518503</v>
      </c>
      <c r="C105" s="2">
        <v>45962.501851851797</v>
      </c>
      <c r="D105" s="3" t="s">
        <v>9</v>
      </c>
      <c r="E105" s="3"/>
      <c r="F105" s="1">
        <v>45962</v>
      </c>
      <c r="G105" s="4" t="s">
        <v>187</v>
      </c>
      <c r="H105" s="3" t="s">
        <v>11</v>
      </c>
      <c r="I105" s="4" t="s">
        <v>188</v>
      </c>
    </row>
    <row r="106" spans="1:9" x14ac:dyDescent="0.45">
      <c r="A106">
        <v>109</v>
      </c>
      <c r="B106" s="2">
        <v>45965.574884259302</v>
      </c>
      <c r="C106" s="2">
        <v>45965.583634259303</v>
      </c>
      <c r="D106" s="3" t="s">
        <v>9</v>
      </c>
      <c r="E106" s="3"/>
      <c r="F106" s="1">
        <v>45965</v>
      </c>
      <c r="G106" s="4" t="s">
        <v>189</v>
      </c>
      <c r="H106" s="3" t="s">
        <v>11</v>
      </c>
      <c r="I106" s="4" t="s">
        <v>190</v>
      </c>
    </row>
    <row r="107" spans="1:9" x14ac:dyDescent="0.45">
      <c r="A107">
        <v>110</v>
      </c>
      <c r="B107" s="2">
        <v>45966.474224537</v>
      </c>
      <c r="C107" s="2">
        <v>45966.474537037</v>
      </c>
      <c r="D107" s="3" t="s">
        <v>9</v>
      </c>
      <c r="E107" s="3"/>
      <c r="F107" s="1">
        <v>45966</v>
      </c>
      <c r="G107" s="4" t="s">
        <v>14</v>
      </c>
      <c r="H107" s="3" t="s">
        <v>11</v>
      </c>
      <c r="I107" s="4" t="s">
        <v>95</v>
      </c>
    </row>
    <row r="108" spans="1:9" x14ac:dyDescent="0.45">
      <c r="A108">
        <v>111</v>
      </c>
      <c r="B108" s="2">
        <v>45966.656805555598</v>
      </c>
      <c r="C108" s="2">
        <v>45966.6569212963</v>
      </c>
      <c r="D108" s="3" t="s">
        <v>9</v>
      </c>
      <c r="E108" s="3"/>
      <c r="F108" s="1">
        <v>45966</v>
      </c>
      <c r="G108" s="4" t="s">
        <v>191</v>
      </c>
      <c r="H108" s="3" t="s">
        <v>11</v>
      </c>
      <c r="I108" s="4" t="s">
        <v>192</v>
      </c>
    </row>
    <row r="109" spans="1:9" x14ac:dyDescent="0.45">
      <c r="A109">
        <v>112</v>
      </c>
      <c r="B109" s="2">
        <v>45967.604317129597</v>
      </c>
      <c r="C109" s="2">
        <v>45967.604432870401</v>
      </c>
      <c r="D109" s="3" t="s">
        <v>9</v>
      </c>
      <c r="E109" s="3"/>
      <c r="F109" s="1">
        <v>45967</v>
      </c>
      <c r="G109" s="4" t="s">
        <v>193</v>
      </c>
      <c r="H109" s="3" t="s">
        <v>11</v>
      </c>
      <c r="I109" s="4" t="s">
        <v>194</v>
      </c>
    </row>
    <row r="110" spans="1:9" x14ac:dyDescent="0.45">
      <c r="A110">
        <v>113</v>
      </c>
      <c r="B110" s="2">
        <v>45969.746851851902</v>
      </c>
      <c r="C110" s="2">
        <v>45969.748368055603</v>
      </c>
      <c r="D110" s="3" t="s">
        <v>9</v>
      </c>
      <c r="E110" s="3"/>
      <c r="F110" s="1">
        <v>45969</v>
      </c>
      <c r="G110" s="4" t="s">
        <v>195</v>
      </c>
      <c r="H110" s="3" t="s">
        <v>11</v>
      </c>
      <c r="I110" s="4" t="s">
        <v>196</v>
      </c>
    </row>
    <row r="111" spans="1:9" x14ac:dyDescent="0.45">
      <c r="A111">
        <v>114</v>
      </c>
      <c r="B111" s="2">
        <v>45969.7492361111</v>
      </c>
      <c r="C111" s="2">
        <v>45969.750891203701</v>
      </c>
      <c r="D111" s="3" t="s">
        <v>9</v>
      </c>
      <c r="E111" s="3"/>
      <c r="F111" s="1">
        <v>45969</v>
      </c>
      <c r="G111" s="4" t="s">
        <v>197</v>
      </c>
      <c r="H111" s="3" t="s">
        <v>11</v>
      </c>
      <c r="I111" s="4" t="s">
        <v>198</v>
      </c>
    </row>
    <row r="112" spans="1:9" x14ac:dyDescent="0.45">
      <c r="A112">
        <v>115</v>
      </c>
      <c r="B112" s="2">
        <v>45970.465138888903</v>
      </c>
      <c r="C112" s="2">
        <v>45970.465347222198</v>
      </c>
      <c r="D112" s="3" t="s">
        <v>9</v>
      </c>
      <c r="E112" s="3"/>
      <c r="F112" s="1">
        <v>45970</v>
      </c>
      <c r="G112" s="4" t="s">
        <v>113</v>
      </c>
      <c r="H112" s="3" t="s">
        <v>11</v>
      </c>
      <c r="I112" s="4" t="s">
        <v>199</v>
      </c>
    </row>
    <row r="113" spans="1:9" x14ac:dyDescent="0.45">
      <c r="A113">
        <v>116</v>
      </c>
      <c r="B113" s="2">
        <v>45970.465659722198</v>
      </c>
      <c r="C113" s="2">
        <v>45970.465787036999</v>
      </c>
      <c r="D113" s="3" t="s">
        <v>9</v>
      </c>
      <c r="E113" s="3"/>
      <c r="F113" s="1">
        <v>45970</v>
      </c>
      <c r="G113" s="4" t="s">
        <v>200</v>
      </c>
      <c r="H113" s="3" t="s">
        <v>11</v>
      </c>
      <c r="I113" s="4" t="s">
        <v>201</v>
      </c>
    </row>
    <row r="114" spans="1:9" x14ac:dyDescent="0.45">
      <c r="A114">
        <v>117</v>
      </c>
      <c r="B114" s="2">
        <v>45971.601446759298</v>
      </c>
      <c r="C114" s="2">
        <v>45971.601620370398</v>
      </c>
      <c r="D114" s="3" t="s">
        <v>9</v>
      </c>
      <c r="E114" s="3"/>
      <c r="F114" s="1">
        <v>45971</v>
      </c>
      <c r="G114" s="4" t="s">
        <v>202</v>
      </c>
      <c r="H114" s="3" t="s">
        <v>11</v>
      </c>
      <c r="I114" s="4" t="s">
        <v>203</v>
      </c>
    </row>
    <row r="115" spans="1:9" x14ac:dyDescent="0.45">
      <c r="A115">
        <v>118</v>
      </c>
      <c r="B115" s="2">
        <v>45972.633275462998</v>
      </c>
      <c r="C115" s="2">
        <v>45972.633414351803</v>
      </c>
      <c r="D115" s="3" t="s">
        <v>9</v>
      </c>
      <c r="E115" s="3"/>
      <c r="F115" s="1">
        <v>45972</v>
      </c>
      <c r="G115" s="4" t="s">
        <v>14</v>
      </c>
      <c r="H115" s="3" t="s">
        <v>11</v>
      </c>
      <c r="I115" s="4" t="s">
        <v>15</v>
      </c>
    </row>
    <row r="116" spans="1:9" x14ac:dyDescent="0.45">
      <c r="A116">
        <v>119</v>
      </c>
      <c r="B116" s="2">
        <v>45974.574409722198</v>
      </c>
      <c r="C116" s="2">
        <v>45974.574618055602</v>
      </c>
      <c r="D116" s="3" t="s">
        <v>9</v>
      </c>
      <c r="E116" s="3"/>
      <c r="F116" s="1">
        <v>45974</v>
      </c>
      <c r="G116" s="4" t="s">
        <v>204</v>
      </c>
      <c r="H116" s="3" t="s">
        <v>11</v>
      </c>
      <c r="I116" s="4" t="s">
        <v>205</v>
      </c>
    </row>
    <row r="117" spans="1:9" x14ac:dyDescent="0.45">
      <c r="A117">
        <v>120</v>
      </c>
      <c r="B117" s="2">
        <v>45974.603518518503</v>
      </c>
      <c r="C117" s="2">
        <v>45974.604421296302</v>
      </c>
      <c r="D117" s="3" t="s">
        <v>9</v>
      </c>
      <c r="E117" s="3"/>
      <c r="F117" s="1">
        <v>45974</v>
      </c>
      <c r="G117" s="4" t="s">
        <v>71</v>
      </c>
      <c r="H117" s="3" t="s">
        <v>11</v>
      </c>
      <c r="I117" s="4" t="s">
        <v>206</v>
      </c>
    </row>
    <row r="118" spans="1:9" x14ac:dyDescent="0.45">
      <c r="A118">
        <v>121</v>
      </c>
      <c r="B118" s="2">
        <v>45975.687627314801</v>
      </c>
      <c r="C118" s="2">
        <v>45975.6879050926</v>
      </c>
      <c r="D118" s="3" t="s">
        <v>9</v>
      </c>
      <c r="E118" s="3"/>
      <c r="F118" s="1">
        <v>45975</v>
      </c>
      <c r="G118" s="4" t="s">
        <v>207</v>
      </c>
      <c r="H118" s="3" t="s">
        <v>11</v>
      </c>
      <c r="I118" s="4" t="s">
        <v>208</v>
      </c>
    </row>
    <row r="119" spans="1:9" x14ac:dyDescent="0.45">
      <c r="A119">
        <v>122</v>
      </c>
      <c r="B119" s="2">
        <v>45979.540937500002</v>
      </c>
      <c r="C119" s="2">
        <v>45979.541574074101</v>
      </c>
      <c r="D119" s="3" t="s">
        <v>9</v>
      </c>
      <c r="E119" s="3"/>
      <c r="F119" s="1">
        <v>45979</v>
      </c>
      <c r="G119" s="4" t="s">
        <v>209</v>
      </c>
      <c r="H119" s="3" t="s">
        <v>11</v>
      </c>
      <c r="I119" s="4" t="s">
        <v>210</v>
      </c>
    </row>
    <row r="120" spans="1:9" x14ac:dyDescent="0.45">
      <c r="A120">
        <v>123</v>
      </c>
      <c r="B120" s="2">
        <v>45981.651805555601</v>
      </c>
      <c r="C120" s="2">
        <v>45981.652025463001</v>
      </c>
      <c r="D120" s="3" t="s">
        <v>9</v>
      </c>
      <c r="E120" s="3"/>
      <c r="F120" s="1">
        <v>45981</v>
      </c>
      <c r="G120" s="4" t="s">
        <v>14</v>
      </c>
      <c r="H120" s="3" t="s">
        <v>11</v>
      </c>
      <c r="I120" s="4" t="s">
        <v>211</v>
      </c>
    </row>
    <row r="121" spans="1:9" x14ac:dyDescent="0.45">
      <c r="A121">
        <v>124</v>
      </c>
      <c r="B121" s="2">
        <v>45982.504386574103</v>
      </c>
      <c r="C121" s="2">
        <v>45982.504606481503</v>
      </c>
      <c r="D121" s="3" t="s">
        <v>9</v>
      </c>
      <c r="E121" s="3"/>
      <c r="F121" s="1">
        <v>45982</v>
      </c>
      <c r="G121" s="4" t="s">
        <v>212</v>
      </c>
      <c r="H121" s="3" t="s">
        <v>11</v>
      </c>
      <c r="I121" s="4" t="s">
        <v>213</v>
      </c>
    </row>
    <row r="122" spans="1:9" x14ac:dyDescent="0.45">
      <c r="A122">
        <v>125</v>
      </c>
      <c r="B122" s="2">
        <v>45982.770752314798</v>
      </c>
      <c r="C122" s="2">
        <v>45982.770902777796</v>
      </c>
      <c r="D122" s="3" t="s">
        <v>9</v>
      </c>
      <c r="E122" s="3"/>
      <c r="F122" s="1">
        <v>45982</v>
      </c>
      <c r="G122" s="4" t="s">
        <v>214</v>
      </c>
      <c r="H122" s="3" t="s">
        <v>11</v>
      </c>
      <c r="I122" s="4" t="s">
        <v>215</v>
      </c>
    </row>
    <row r="123" spans="1:9" x14ac:dyDescent="0.45">
      <c r="A123">
        <v>126</v>
      </c>
      <c r="B123" s="2">
        <v>45983.597037036998</v>
      </c>
      <c r="C123" s="2">
        <v>45983.597129629597</v>
      </c>
      <c r="D123" s="3" t="s">
        <v>9</v>
      </c>
      <c r="E123" s="3"/>
      <c r="F123" s="1">
        <v>45983</v>
      </c>
      <c r="G123" s="4" t="s">
        <v>216</v>
      </c>
      <c r="H123" s="3" t="s">
        <v>11</v>
      </c>
      <c r="I123" s="4" t="s">
        <v>217</v>
      </c>
    </row>
    <row r="124" spans="1:9" x14ac:dyDescent="0.45">
      <c r="A124">
        <v>127</v>
      </c>
      <c r="B124" s="2">
        <v>45986.6578703704</v>
      </c>
      <c r="C124" s="2">
        <v>45986.658726851798</v>
      </c>
      <c r="D124" s="3" t="s">
        <v>9</v>
      </c>
      <c r="E124" s="3"/>
      <c r="F124" s="1">
        <v>45986</v>
      </c>
      <c r="G124" s="4">
        <v>3199.8</v>
      </c>
      <c r="H124" s="3" t="s">
        <v>11</v>
      </c>
      <c r="I124" s="4" t="s">
        <v>218</v>
      </c>
    </row>
    <row r="125" spans="1:9" x14ac:dyDescent="0.45">
      <c r="A125">
        <v>128</v>
      </c>
      <c r="B125" s="2">
        <v>45986.683182870402</v>
      </c>
      <c r="C125" s="2">
        <v>45986.683495370402</v>
      </c>
      <c r="D125" s="3" t="s">
        <v>9</v>
      </c>
      <c r="E125" s="3"/>
      <c r="F125" s="1">
        <v>45986</v>
      </c>
      <c r="G125" s="4" t="s">
        <v>14</v>
      </c>
      <c r="H125" s="3" t="s">
        <v>11</v>
      </c>
      <c r="I125" s="4" t="s">
        <v>211</v>
      </c>
    </row>
    <row r="126" spans="1:9" x14ac:dyDescent="0.45">
      <c r="A126">
        <v>129</v>
      </c>
      <c r="B126" s="2">
        <v>45986.903796296298</v>
      </c>
      <c r="C126" s="2">
        <v>45986.904143518499</v>
      </c>
      <c r="D126" s="3" t="s">
        <v>9</v>
      </c>
      <c r="E126" s="3"/>
      <c r="F126" s="1">
        <v>45986</v>
      </c>
      <c r="G126" s="4" t="s">
        <v>219</v>
      </c>
      <c r="H126" s="3" t="s">
        <v>11</v>
      </c>
      <c r="I126" s="4" t="s">
        <v>220</v>
      </c>
    </row>
    <row r="127" spans="1:9" x14ac:dyDescent="0.45">
      <c r="A127">
        <v>130</v>
      </c>
      <c r="B127" s="2">
        <v>45999.935046296298</v>
      </c>
      <c r="C127" s="2">
        <v>45999.935821759304</v>
      </c>
      <c r="D127" s="3" t="s">
        <v>9</v>
      </c>
      <c r="E127" s="3"/>
      <c r="F127" s="1">
        <v>45999</v>
      </c>
      <c r="G127" s="4" t="s">
        <v>221</v>
      </c>
      <c r="H127" s="3" t="s">
        <v>30</v>
      </c>
      <c r="I127" s="4" t="s">
        <v>222</v>
      </c>
    </row>
    <row r="128" spans="1:9" x14ac:dyDescent="0.45">
      <c r="A128">
        <v>131</v>
      </c>
      <c r="B128" s="2">
        <v>46003.508912037003</v>
      </c>
      <c r="C128" s="2">
        <v>46003.509178240703</v>
      </c>
      <c r="D128" s="3" t="s">
        <v>9</v>
      </c>
      <c r="E128" s="3"/>
      <c r="F128" s="1">
        <v>46003</v>
      </c>
      <c r="G128" s="4" t="s">
        <v>223</v>
      </c>
      <c r="H128" s="3" t="s">
        <v>11</v>
      </c>
      <c r="I128" s="4" t="s">
        <v>224</v>
      </c>
    </row>
    <row r="129" spans="1:9" x14ac:dyDescent="0.45">
      <c r="A129">
        <v>132</v>
      </c>
      <c r="B129" s="2">
        <v>46013.679247685199</v>
      </c>
      <c r="C129" s="2">
        <v>46013.679386574098</v>
      </c>
      <c r="D129" s="3" t="s">
        <v>9</v>
      </c>
      <c r="E129" s="3"/>
      <c r="F129" s="1">
        <v>46013</v>
      </c>
      <c r="G129" s="4" t="s">
        <v>225</v>
      </c>
      <c r="H129" s="3" t="s">
        <v>11</v>
      </c>
      <c r="I129" s="4" t="s">
        <v>226</v>
      </c>
    </row>
    <row r="130" spans="1:9" x14ac:dyDescent="0.45">
      <c r="A130">
        <v>133</v>
      </c>
      <c r="B130" s="2">
        <v>46013.7991203704</v>
      </c>
      <c r="C130" s="2">
        <v>46013.799745370401</v>
      </c>
      <c r="D130" s="3" t="s">
        <v>9</v>
      </c>
      <c r="E130" s="3"/>
      <c r="F130" s="1">
        <v>46013</v>
      </c>
      <c r="G130" s="4" t="s">
        <v>227</v>
      </c>
      <c r="H130" s="3" t="s">
        <v>30</v>
      </c>
      <c r="I130" s="4" t="s">
        <v>228</v>
      </c>
    </row>
    <row r="131" spans="1:9" x14ac:dyDescent="0.45">
      <c r="A131">
        <v>134</v>
      </c>
      <c r="B131" s="2">
        <v>46013.802337963003</v>
      </c>
      <c r="C131" s="2">
        <v>46013.802499999998</v>
      </c>
      <c r="D131" s="3" t="s">
        <v>9</v>
      </c>
      <c r="E131" s="3"/>
      <c r="F131" s="1">
        <v>46013</v>
      </c>
      <c r="G131" s="4" t="s">
        <v>229</v>
      </c>
      <c r="H131" s="3" t="s">
        <v>30</v>
      </c>
      <c r="I131" s="4" t="s">
        <v>230</v>
      </c>
    </row>
    <row r="132" spans="1:9" x14ac:dyDescent="0.45">
      <c r="A132">
        <v>135</v>
      </c>
      <c r="B132" s="2">
        <v>46014.7877546296</v>
      </c>
      <c r="C132" s="2">
        <v>46014.787881944401</v>
      </c>
      <c r="D132" s="3" t="s">
        <v>9</v>
      </c>
      <c r="E132" s="3"/>
      <c r="F132" s="1">
        <v>46014</v>
      </c>
      <c r="G132" s="4" t="s">
        <v>231</v>
      </c>
      <c r="H132" s="3" t="s">
        <v>30</v>
      </c>
      <c r="I132" s="4" t="s">
        <v>232</v>
      </c>
    </row>
    <row r="133" spans="1:9" x14ac:dyDescent="0.45">
      <c r="A133">
        <v>136</v>
      </c>
      <c r="B133" s="2">
        <v>46014.789212962998</v>
      </c>
      <c r="C133" s="2">
        <v>46014.789386574099</v>
      </c>
      <c r="D133" s="3" t="s">
        <v>9</v>
      </c>
      <c r="E133" s="3"/>
      <c r="F133" s="1">
        <v>46014</v>
      </c>
      <c r="G133" s="4" t="s">
        <v>233</v>
      </c>
      <c r="H133" s="3" t="s">
        <v>30</v>
      </c>
      <c r="I133" s="4" t="s">
        <v>234</v>
      </c>
    </row>
    <row r="134" spans="1:9" x14ac:dyDescent="0.45">
      <c r="A134">
        <v>137</v>
      </c>
      <c r="B134" s="2">
        <v>46014.813738425903</v>
      </c>
      <c r="C134" s="2">
        <v>46014.813888888901</v>
      </c>
      <c r="D134" s="3" t="s">
        <v>9</v>
      </c>
      <c r="E134" s="3"/>
      <c r="F134" s="1">
        <v>46014</v>
      </c>
      <c r="G134" s="4" t="s">
        <v>235</v>
      </c>
      <c r="H134" s="3" t="s">
        <v>30</v>
      </c>
      <c r="I134" s="4" t="s">
        <v>236</v>
      </c>
    </row>
    <row r="135" spans="1:9" x14ac:dyDescent="0.45">
      <c r="A135">
        <v>138</v>
      </c>
      <c r="B135" s="2">
        <v>46024.546053240701</v>
      </c>
      <c r="C135" s="2">
        <v>46024.546215277798</v>
      </c>
      <c r="D135" s="3" t="s">
        <v>9</v>
      </c>
      <c r="E135" s="3"/>
      <c r="F135" s="1">
        <v>46024</v>
      </c>
      <c r="G135" s="4" t="s">
        <v>237</v>
      </c>
      <c r="H135" s="3" t="s">
        <v>11</v>
      </c>
      <c r="I135" s="4" t="s">
        <v>238</v>
      </c>
    </row>
    <row r="136" spans="1:9" x14ac:dyDescent="0.45">
      <c r="A136">
        <v>139</v>
      </c>
      <c r="B136" s="2">
        <v>46025.537835648203</v>
      </c>
      <c r="C136" s="2">
        <v>46025.538854166698</v>
      </c>
      <c r="D136" s="3" t="s">
        <v>9</v>
      </c>
      <c r="E136" s="3"/>
      <c r="F136" s="1">
        <v>46025</v>
      </c>
      <c r="G136" s="4" t="s">
        <v>239</v>
      </c>
      <c r="H136" s="3" t="s">
        <v>11</v>
      </c>
      <c r="I136" s="4"/>
    </row>
    <row r="137" spans="1:9" x14ac:dyDescent="0.45">
      <c r="A137">
        <v>140</v>
      </c>
      <c r="B137" s="20">
        <v>46028.620648148099</v>
      </c>
      <c r="C137" s="20">
        <v>46028.620787036998</v>
      </c>
      <c r="D137" s="3" t="s">
        <v>9</v>
      </c>
      <c r="E137" s="3"/>
      <c r="F137" s="21">
        <v>46028</v>
      </c>
      <c r="G137" s="4" t="s">
        <v>287</v>
      </c>
      <c r="H137" s="3" t="s">
        <v>11</v>
      </c>
      <c r="I137" s="4" t="s">
        <v>286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18ED4-FE1B-4604-836A-6356AA25AECA}">
  <dimension ref="A1:G966"/>
  <sheetViews>
    <sheetView tabSelected="1" topLeftCell="A279" workbookViewId="0">
      <selection activeCell="G293" sqref="G293"/>
    </sheetView>
  </sheetViews>
  <sheetFormatPr defaultRowHeight="14.25" x14ac:dyDescent="0.45"/>
  <cols>
    <col min="1" max="1" width="12.9296875" customWidth="1"/>
    <col min="2" max="2" width="12" bestFit="1" customWidth="1"/>
    <col min="3" max="3" width="10.19921875" bestFit="1" customWidth="1"/>
    <col min="4" max="4" width="23.3984375" style="3" bestFit="1" customWidth="1"/>
    <col min="5" max="5" width="19.06640625" bestFit="1" customWidth="1"/>
    <col min="6" max="6" width="13.46484375" bestFit="1" customWidth="1"/>
    <col min="7" max="7" width="14.6640625" bestFit="1" customWidth="1"/>
  </cols>
  <sheetData>
    <row r="1" spans="1:7" x14ac:dyDescent="0.45">
      <c r="A1" s="5" t="s">
        <v>5</v>
      </c>
      <c r="B1" s="6" t="s">
        <v>6</v>
      </c>
      <c r="C1" s="6" t="s">
        <v>7</v>
      </c>
      <c r="D1" s="12" t="s">
        <v>8</v>
      </c>
      <c r="E1" s="6" t="s">
        <v>240</v>
      </c>
      <c r="F1" s="6" t="s">
        <v>241</v>
      </c>
      <c r="G1" s="7" t="s">
        <v>242</v>
      </c>
    </row>
    <row r="2" spans="1:7" x14ac:dyDescent="0.45">
      <c r="A2" s="8">
        <v>45993</v>
      </c>
      <c r="B2" s="16">
        <v>3669</v>
      </c>
      <c r="C2" s="9" t="s">
        <v>11</v>
      </c>
      <c r="D2" s="13"/>
      <c r="E2" s="10">
        <v>3473.15</v>
      </c>
      <c r="F2" s="10">
        <v>6331</v>
      </c>
      <c r="G2" s="10">
        <v>9804.15</v>
      </c>
    </row>
    <row r="3" spans="1:7" x14ac:dyDescent="0.45">
      <c r="A3" s="8">
        <v>45701</v>
      </c>
      <c r="B3" s="16">
        <v>2900</v>
      </c>
      <c r="C3" s="9" t="s">
        <v>11</v>
      </c>
      <c r="D3" s="13"/>
      <c r="E3" s="10">
        <f ca="1">IF(Table2[[#This Row],[Spender]]="YEONG",OFFSET(Table2[[#This Row],[My Actual Balance]],-1,0)-Table2[[#This Row],[Amount]],OFFSET(Table2[[#This Row],[My Actual Balance]],-1,0))</f>
        <v>3473.15</v>
      </c>
      <c r="F3" s="10">
        <f ca="1">IF(Table2[[#This Row],[Spender]]="MV",OFFSET(Table2[[#This Row],[MV Balance]],-1,0)-Table2[[#This Row],[Amount]],OFFSET(Table2[[#This Row],[MV Balance]],-1,0))</f>
        <v>3431</v>
      </c>
      <c r="G3" s="10">
        <f t="shared" ref="G3:G34" ca="1" si="0">SUM(E3:F3)</f>
        <v>6904.15</v>
      </c>
    </row>
    <row r="4" spans="1:7" x14ac:dyDescent="0.45">
      <c r="A4" s="8">
        <v>45702</v>
      </c>
      <c r="B4" s="16">
        <v>-249</v>
      </c>
      <c r="C4" s="11" t="s">
        <v>30</v>
      </c>
      <c r="D4" s="13"/>
      <c r="E4" s="10">
        <f ca="1">IF(Table2[[#This Row],[Spender]]="YEONG",OFFSET(Table2[[#This Row],[My Actual Balance]],-1,0)-Table2[[#This Row],[Amount]],OFFSET(Table2[[#This Row],[My Actual Balance]],-1,0))</f>
        <v>3722.15</v>
      </c>
      <c r="F4" s="10">
        <f ca="1">IF(Table2[[#This Row],[Spender]]="MV",OFFSET(Table2[[#This Row],[MV Balance]],-1,0)-Table2[[#This Row],[Amount]],OFFSET(Table2[[#This Row],[MV Balance]],-1,0))</f>
        <v>3431</v>
      </c>
      <c r="G4" s="10">
        <f t="shared" ca="1" si="0"/>
        <v>7153.15</v>
      </c>
    </row>
    <row r="5" spans="1:7" x14ac:dyDescent="0.45">
      <c r="A5" s="8">
        <v>45705</v>
      </c>
      <c r="B5" s="16">
        <v>3431</v>
      </c>
      <c r="C5" s="9" t="s">
        <v>11</v>
      </c>
      <c r="D5" s="13"/>
      <c r="E5" s="10">
        <f ca="1">IF(Table2[[#This Row],[Spender]]="YEONG",OFFSET(Table2[[#This Row],[My Actual Balance]],-1,0)-Table2[[#This Row],[Amount]],OFFSET(Table2[[#This Row],[My Actual Balance]],-1,0))</f>
        <v>3722.15</v>
      </c>
      <c r="F5" s="10">
        <f ca="1">IF(Table2[[#This Row],[Spender]]="MV",OFFSET(Table2[[#This Row],[MV Balance]],-1,0)-Table2[[#This Row],[Amount]],OFFSET(Table2[[#This Row],[MV Balance]],-1,0))</f>
        <v>0</v>
      </c>
      <c r="G5" s="10">
        <f t="shared" ca="1" si="0"/>
        <v>3722.15</v>
      </c>
    </row>
    <row r="6" spans="1:7" x14ac:dyDescent="0.45">
      <c r="A6" s="8">
        <v>45710</v>
      </c>
      <c r="B6" s="16">
        <v>-10000</v>
      </c>
      <c r="C6" s="9" t="s">
        <v>11</v>
      </c>
      <c r="D6" s="13"/>
      <c r="E6" s="10">
        <f ca="1">IF(Table2[[#This Row],[Spender]]="YEONG",OFFSET(Table2[[#This Row],[My Actual Balance]],-1,0)-Table2[[#This Row],[Amount]],OFFSET(Table2[[#This Row],[My Actual Balance]],-1,0))</f>
        <v>3722.15</v>
      </c>
      <c r="F6" s="10">
        <f ca="1">IF(Table2[[#This Row],[Spender]]="MV",OFFSET(Table2[[#This Row],[MV Balance]],-1,0)-Table2[[#This Row],[Amount]],OFFSET(Table2[[#This Row],[MV Balance]],-1,0))</f>
        <v>10000</v>
      </c>
      <c r="G6" s="10">
        <f t="shared" ca="1" si="0"/>
        <v>13722.15</v>
      </c>
    </row>
    <row r="7" spans="1:7" x14ac:dyDescent="0.45">
      <c r="A7" s="8">
        <v>45710</v>
      </c>
      <c r="B7" s="16">
        <v>750</v>
      </c>
      <c r="C7" s="9" t="s">
        <v>11</v>
      </c>
      <c r="D7" s="13"/>
      <c r="E7" s="10">
        <f ca="1">IF(Table2[[#This Row],[Spender]]="YEONG",OFFSET(Table2[[#This Row],[My Actual Balance]],-1,0)-Table2[[#This Row],[Amount]],OFFSET(Table2[[#This Row],[My Actual Balance]],-1,0))</f>
        <v>3722.15</v>
      </c>
      <c r="F7" s="10">
        <f ca="1">IF(Table2[[#This Row],[Spender]]="MV",OFFSET(Table2[[#This Row],[MV Balance]],-1,0)-Table2[[#This Row],[Amount]],OFFSET(Table2[[#This Row],[MV Balance]],-1,0))</f>
        <v>9250</v>
      </c>
      <c r="G7" s="10">
        <f t="shared" ca="1" si="0"/>
        <v>12972.15</v>
      </c>
    </row>
    <row r="8" spans="1:7" x14ac:dyDescent="0.45">
      <c r="A8" s="8">
        <v>45710</v>
      </c>
      <c r="B8" s="16">
        <v>482</v>
      </c>
      <c r="C8" s="9" t="s">
        <v>11</v>
      </c>
      <c r="D8" s="13"/>
      <c r="E8" s="10">
        <f ca="1">IF(Table2[[#This Row],[Spender]]="YEONG",OFFSET(Table2[[#This Row],[My Actual Balance]],-1,0)-Table2[[#This Row],[Amount]],OFFSET(Table2[[#This Row],[My Actual Balance]],-1,0))</f>
        <v>3722.15</v>
      </c>
      <c r="F8" s="10">
        <f ca="1">IF(Table2[[#This Row],[Spender]]="MV",OFFSET(Table2[[#This Row],[MV Balance]],-1,0)-Table2[[#This Row],[Amount]],OFFSET(Table2[[#This Row],[MV Balance]],-1,0))</f>
        <v>8768</v>
      </c>
      <c r="G8" s="10">
        <f t="shared" ca="1" si="0"/>
        <v>12490.15</v>
      </c>
    </row>
    <row r="9" spans="1:7" x14ac:dyDescent="0.45">
      <c r="A9" s="8">
        <v>45710</v>
      </c>
      <c r="B9" s="16">
        <v>768.5</v>
      </c>
      <c r="C9" s="9" t="s">
        <v>11</v>
      </c>
      <c r="D9" s="13"/>
      <c r="E9" s="10">
        <f ca="1">IF(Table2[[#This Row],[Spender]]="YEONG",OFFSET(Table2[[#This Row],[My Actual Balance]],-1,0)-Table2[[#This Row],[Amount]],OFFSET(Table2[[#This Row],[My Actual Balance]],-1,0))</f>
        <v>3722.15</v>
      </c>
      <c r="F9" s="10">
        <f ca="1">IF(Table2[[#This Row],[Spender]]="MV",OFFSET(Table2[[#This Row],[MV Balance]],-1,0)-Table2[[#This Row],[Amount]],OFFSET(Table2[[#This Row],[MV Balance]],-1,0))</f>
        <v>7999.5</v>
      </c>
      <c r="G9" s="10">
        <f t="shared" ca="1" si="0"/>
        <v>11721.65</v>
      </c>
    </row>
    <row r="10" spans="1:7" x14ac:dyDescent="0.45">
      <c r="A10" s="8">
        <v>45710</v>
      </c>
      <c r="B10" s="16">
        <v>675.5</v>
      </c>
      <c r="C10" s="9" t="s">
        <v>11</v>
      </c>
      <c r="D10" s="13"/>
      <c r="E10" s="10">
        <f ca="1">IF(Table2[[#This Row],[Spender]]="YEONG",OFFSET(Table2[[#This Row],[My Actual Balance]],-1,0)-Table2[[#This Row],[Amount]],OFFSET(Table2[[#This Row],[My Actual Balance]],-1,0))</f>
        <v>3722.15</v>
      </c>
      <c r="F10" s="10">
        <f ca="1">IF(Table2[[#This Row],[Spender]]="MV",OFFSET(Table2[[#This Row],[MV Balance]],-1,0)-Table2[[#This Row],[Amount]],OFFSET(Table2[[#This Row],[MV Balance]],-1,0))</f>
        <v>7324</v>
      </c>
      <c r="G10" s="10">
        <f t="shared" ca="1" si="0"/>
        <v>11046.15</v>
      </c>
    </row>
    <row r="11" spans="1:7" x14ac:dyDescent="0.45">
      <c r="A11" s="8">
        <v>45710</v>
      </c>
      <c r="B11" s="16">
        <v>947.5</v>
      </c>
      <c r="C11" s="9" t="s">
        <v>11</v>
      </c>
      <c r="D11" s="13"/>
      <c r="E11" s="10">
        <f ca="1">IF(Table2[[#This Row],[Spender]]="YEONG",OFFSET(Table2[[#This Row],[My Actual Balance]],-1,0)-Table2[[#This Row],[Amount]],OFFSET(Table2[[#This Row],[My Actual Balance]],-1,0))</f>
        <v>3722.15</v>
      </c>
      <c r="F11" s="10">
        <f ca="1">IF(Table2[[#This Row],[Spender]]="MV",OFFSET(Table2[[#This Row],[MV Balance]],-1,0)-Table2[[#This Row],[Amount]],OFFSET(Table2[[#This Row],[MV Balance]],-1,0))</f>
        <v>6376.5</v>
      </c>
      <c r="G11" s="10">
        <f t="shared" ca="1" si="0"/>
        <v>10098.65</v>
      </c>
    </row>
    <row r="12" spans="1:7" x14ac:dyDescent="0.45">
      <c r="A12" s="8">
        <v>45710</v>
      </c>
      <c r="B12" s="16">
        <v>570</v>
      </c>
      <c r="C12" s="9" t="s">
        <v>11</v>
      </c>
      <c r="D12" s="13"/>
      <c r="E12" s="10">
        <f ca="1">IF(Table2[[#This Row],[Spender]]="YEONG",OFFSET(Table2[[#This Row],[My Actual Balance]],-1,0)-Table2[[#This Row],[Amount]],OFFSET(Table2[[#This Row],[My Actual Balance]],-1,0))</f>
        <v>3722.15</v>
      </c>
      <c r="F12" s="10">
        <f ca="1">IF(Table2[[#This Row],[Spender]]="MV",OFFSET(Table2[[#This Row],[MV Balance]],-1,0)-Table2[[#This Row],[Amount]],OFFSET(Table2[[#This Row],[MV Balance]],-1,0))</f>
        <v>5806.5</v>
      </c>
      <c r="G12" s="10">
        <f t="shared" ca="1" si="0"/>
        <v>9528.65</v>
      </c>
    </row>
    <row r="13" spans="1:7" x14ac:dyDescent="0.45">
      <c r="A13" s="8">
        <v>45710</v>
      </c>
      <c r="B13" s="16">
        <v>6246</v>
      </c>
      <c r="C13" s="9" t="s">
        <v>11</v>
      </c>
      <c r="D13" s="13"/>
      <c r="E13" s="10">
        <f ca="1">IF(Table2[[#This Row],[Spender]]="YEONG",OFFSET(Table2[[#This Row],[My Actual Balance]],-1,0)-Table2[[#This Row],[Amount]],OFFSET(Table2[[#This Row],[My Actual Balance]],-1,0))</f>
        <v>3722.15</v>
      </c>
      <c r="F13" s="10">
        <f ca="1">IF(Table2[[#This Row],[Spender]]="MV",OFFSET(Table2[[#This Row],[MV Balance]],-1,0)-Table2[[#This Row],[Amount]],OFFSET(Table2[[#This Row],[MV Balance]],-1,0))</f>
        <v>-439.5</v>
      </c>
      <c r="G13" s="10">
        <f t="shared" ca="1" si="0"/>
        <v>3282.65</v>
      </c>
    </row>
    <row r="14" spans="1:7" x14ac:dyDescent="0.45">
      <c r="A14" s="8">
        <v>45711</v>
      </c>
      <c r="B14" s="16">
        <v>-439.5</v>
      </c>
      <c r="C14" s="9" t="s">
        <v>11</v>
      </c>
      <c r="D14" s="13"/>
      <c r="E14" s="10">
        <f ca="1">IF(Table2[[#This Row],[Spender]]="YEONG",OFFSET(Table2[[#This Row],[My Actual Balance]],-1,0)-Table2[[#This Row],[Amount]],OFFSET(Table2[[#This Row],[My Actual Balance]],-1,0))</f>
        <v>3722.15</v>
      </c>
      <c r="F14" s="10">
        <f ca="1">IF(Table2[[#This Row],[Spender]]="MV",OFFSET(Table2[[#This Row],[MV Balance]],-1,0)-Table2[[#This Row],[Amount]],OFFSET(Table2[[#This Row],[MV Balance]],-1,0))</f>
        <v>0</v>
      </c>
      <c r="G14" s="10">
        <f t="shared" ca="1" si="0"/>
        <v>3722.15</v>
      </c>
    </row>
    <row r="15" spans="1:7" x14ac:dyDescent="0.45">
      <c r="A15" s="8">
        <v>45713</v>
      </c>
      <c r="B15" s="16">
        <v>-10000</v>
      </c>
      <c r="C15" s="9" t="s">
        <v>11</v>
      </c>
      <c r="D15" s="13"/>
      <c r="E15" s="10">
        <f ca="1">IF(Table2[[#This Row],[Spender]]="YEONG",OFFSET(Table2[[#This Row],[My Actual Balance]],-1,0)-Table2[[#This Row],[Amount]],OFFSET(Table2[[#This Row],[My Actual Balance]],-1,0))</f>
        <v>3722.15</v>
      </c>
      <c r="F15" s="10">
        <f ca="1">IF(Table2[[#This Row],[Spender]]="MV",OFFSET(Table2[[#This Row],[MV Balance]],-1,0)-Table2[[#This Row],[Amount]],OFFSET(Table2[[#This Row],[MV Balance]],-1,0))</f>
        <v>10000</v>
      </c>
      <c r="G15" s="10">
        <f t="shared" ca="1" si="0"/>
        <v>13722.15</v>
      </c>
    </row>
    <row r="16" spans="1:7" x14ac:dyDescent="0.45">
      <c r="A16" s="8">
        <v>45713</v>
      </c>
      <c r="B16" s="16">
        <v>5000</v>
      </c>
      <c r="C16" s="9" t="s">
        <v>11</v>
      </c>
      <c r="D16" s="13"/>
      <c r="E16" s="10">
        <f ca="1">IF(Table2[[#This Row],[Spender]]="YEONG",OFFSET(Table2[[#This Row],[My Actual Balance]],-1,0)-Table2[[#This Row],[Amount]],OFFSET(Table2[[#This Row],[My Actual Balance]],-1,0))</f>
        <v>3722.15</v>
      </c>
      <c r="F16" s="10">
        <f ca="1">IF(Table2[[#This Row],[Spender]]="MV",OFFSET(Table2[[#This Row],[MV Balance]],-1,0)-Table2[[#This Row],[Amount]],OFFSET(Table2[[#This Row],[MV Balance]],-1,0))</f>
        <v>5000</v>
      </c>
      <c r="G16" s="10">
        <f t="shared" ca="1" si="0"/>
        <v>8722.15</v>
      </c>
    </row>
    <row r="17" spans="1:7" x14ac:dyDescent="0.45">
      <c r="A17" s="8">
        <v>45715</v>
      </c>
      <c r="B17" s="16">
        <v>3550</v>
      </c>
      <c r="C17" s="9" t="s">
        <v>11</v>
      </c>
      <c r="D17" s="13"/>
      <c r="E17" s="10">
        <f ca="1">IF(Table2[[#This Row],[Spender]]="YEONG",OFFSET(Table2[[#This Row],[My Actual Balance]],-1,0)-Table2[[#This Row],[Amount]],OFFSET(Table2[[#This Row],[My Actual Balance]],-1,0))</f>
        <v>3722.15</v>
      </c>
      <c r="F17" s="10">
        <f ca="1">IF(Table2[[#This Row],[Spender]]="MV",OFFSET(Table2[[#This Row],[MV Balance]],-1,0)-Table2[[#This Row],[Amount]],OFFSET(Table2[[#This Row],[MV Balance]],-1,0))</f>
        <v>1450</v>
      </c>
      <c r="G17" s="10">
        <f t="shared" ca="1" si="0"/>
        <v>5172.1499999999996</v>
      </c>
    </row>
    <row r="18" spans="1:7" x14ac:dyDescent="0.45">
      <c r="A18" s="8">
        <v>45716</v>
      </c>
      <c r="B18" s="16">
        <v>1450</v>
      </c>
      <c r="C18" s="9" t="s">
        <v>11</v>
      </c>
      <c r="D18" s="13"/>
      <c r="E18" s="10">
        <f ca="1">IF(Table2[[#This Row],[Spender]]="YEONG",OFFSET(Table2[[#This Row],[My Actual Balance]],-1,0)-Table2[[#This Row],[Amount]],OFFSET(Table2[[#This Row],[My Actual Balance]],-1,0))</f>
        <v>3722.15</v>
      </c>
      <c r="F18" s="10">
        <f ca="1">IF(Table2[[#This Row],[Spender]]="MV",OFFSET(Table2[[#This Row],[MV Balance]],-1,0)-Table2[[#This Row],[Amount]],OFFSET(Table2[[#This Row],[MV Balance]],-1,0))</f>
        <v>0</v>
      </c>
      <c r="G18" s="10">
        <f t="shared" ca="1" si="0"/>
        <v>3722.15</v>
      </c>
    </row>
    <row r="19" spans="1:7" x14ac:dyDescent="0.45">
      <c r="A19" s="8">
        <v>45716</v>
      </c>
      <c r="B19" s="16">
        <v>215.79</v>
      </c>
      <c r="C19" s="11" t="s">
        <v>30</v>
      </c>
      <c r="D19" s="14" t="s">
        <v>243</v>
      </c>
      <c r="E19" s="10">
        <f ca="1">IF(Table2[[#This Row],[Spender]]="YEONG",OFFSET(Table2[[#This Row],[My Actual Balance]],-1,0)-Table2[[#This Row],[Amount]],OFFSET(Table2[[#This Row],[My Actual Balance]],-1,0))</f>
        <v>3506.36</v>
      </c>
      <c r="F19" s="10">
        <f ca="1">IF(Table2[[#This Row],[Spender]]="MV",OFFSET(Table2[[#This Row],[MV Balance]],-1,0)-Table2[[#This Row],[Amount]],OFFSET(Table2[[#This Row],[MV Balance]],-1,0))</f>
        <v>0</v>
      </c>
      <c r="G19" s="10">
        <f t="shared" ca="1" si="0"/>
        <v>3506.36</v>
      </c>
    </row>
    <row r="20" spans="1:7" x14ac:dyDescent="0.45">
      <c r="A20" s="8">
        <v>45719</v>
      </c>
      <c r="B20" s="16">
        <v>-10000</v>
      </c>
      <c r="C20" s="9" t="s">
        <v>11</v>
      </c>
      <c r="D20" s="13"/>
      <c r="E20" s="10">
        <f ca="1">IF(Table2[[#This Row],[Spender]]="YEONG",OFFSET(Table2[[#This Row],[My Actual Balance]],-1,0)-Table2[[#This Row],[Amount]],OFFSET(Table2[[#This Row],[My Actual Balance]],-1,0))</f>
        <v>3506.36</v>
      </c>
      <c r="F20" s="10">
        <f ca="1">IF(Table2[[#This Row],[Spender]]="MV",OFFSET(Table2[[#This Row],[MV Balance]],-1,0)-Table2[[#This Row],[Amount]],OFFSET(Table2[[#This Row],[MV Balance]],-1,0))</f>
        <v>10000</v>
      </c>
      <c r="G20" s="10">
        <f t="shared" ca="1" si="0"/>
        <v>13506.36</v>
      </c>
    </row>
    <row r="21" spans="1:7" x14ac:dyDescent="0.45">
      <c r="A21" s="8">
        <v>45719</v>
      </c>
      <c r="B21" s="16">
        <v>141</v>
      </c>
      <c r="C21" s="11" t="s">
        <v>30</v>
      </c>
      <c r="D21" s="14" t="s">
        <v>244</v>
      </c>
      <c r="E21" s="10">
        <f ca="1">IF(Table2[[#This Row],[Spender]]="YEONG",OFFSET(Table2[[#This Row],[My Actual Balance]],-1,0)-Table2[[#This Row],[Amount]],OFFSET(Table2[[#This Row],[My Actual Balance]],-1,0))</f>
        <v>3365.36</v>
      </c>
      <c r="F21" s="10">
        <f ca="1">IF(Table2[[#This Row],[Spender]]="MV",OFFSET(Table2[[#This Row],[MV Balance]],-1,0)-Table2[[#This Row],[Amount]],OFFSET(Table2[[#This Row],[MV Balance]],-1,0))</f>
        <v>10000</v>
      </c>
      <c r="G21" s="10">
        <f t="shared" ca="1" si="0"/>
        <v>13365.36</v>
      </c>
    </row>
    <row r="22" spans="1:7" x14ac:dyDescent="0.45">
      <c r="A22" s="8">
        <v>45719</v>
      </c>
      <c r="B22" s="16">
        <v>29.1</v>
      </c>
      <c r="C22" s="11" t="s">
        <v>30</v>
      </c>
      <c r="D22" s="14" t="s">
        <v>222</v>
      </c>
      <c r="E22" s="10">
        <f ca="1">IF(Table2[[#This Row],[Spender]]="YEONG",OFFSET(Table2[[#This Row],[My Actual Balance]],-1,0)-Table2[[#This Row],[Amount]],OFFSET(Table2[[#This Row],[My Actual Balance]],-1,0))</f>
        <v>3336.26</v>
      </c>
      <c r="F22" s="10">
        <f ca="1">IF(Table2[[#This Row],[Spender]]="MV",OFFSET(Table2[[#This Row],[MV Balance]],-1,0)-Table2[[#This Row],[Amount]],OFFSET(Table2[[#This Row],[MV Balance]],-1,0))</f>
        <v>10000</v>
      </c>
      <c r="G22" s="10">
        <f t="shared" ca="1" si="0"/>
        <v>13336.26</v>
      </c>
    </row>
    <row r="23" spans="1:7" x14ac:dyDescent="0.45">
      <c r="A23" s="8">
        <v>45780</v>
      </c>
      <c r="B23" s="16">
        <v>1187.19</v>
      </c>
      <c r="C23" s="9" t="s">
        <v>11</v>
      </c>
      <c r="D23" s="13"/>
      <c r="E23" s="10">
        <f ca="1">IF(Table2[[#This Row],[Spender]]="YEONG",OFFSET(Table2[[#This Row],[My Actual Balance]],-1,0)-Table2[[#This Row],[Amount]],OFFSET(Table2[[#This Row],[My Actual Balance]],-1,0))</f>
        <v>3336.26</v>
      </c>
      <c r="F23" s="10">
        <f ca="1">IF(Table2[[#This Row],[Spender]]="MV",OFFSET(Table2[[#This Row],[MV Balance]],-1,0)-Table2[[#This Row],[Amount]],OFFSET(Table2[[#This Row],[MV Balance]],-1,0))</f>
        <v>8812.81</v>
      </c>
      <c r="G23" s="10">
        <f t="shared" ca="1" si="0"/>
        <v>12149.07</v>
      </c>
    </row>
    <row r="24" spans="1:7" x14ac:dyDescent="0.45">
      <c r="A24" s="8">
        <v>45841</v>
      </c>
      <c r="B24" s="16">
        <v>3926</v>
      </c>
      <c r="C24" s="9" t="s">
        <v>11</v>
      </c>
      <c r="D24" s="13"/>
      <c r="E24" s="10">
        <f ca="1">IF(Table2[[#This Row],[Spender]]="YEONG",OFFSET(Table2[[#This Row],[My Actual Balance]],-1,0)-Table2[[#This Row],[Amount]],OFFSET(Table2[[#This Row],[My Actual Balance]],-1,0))</f>
        <v>3336.26</v>
      </c>
      <c r="F24" s="10">
        <f ca="1">IF(Table2[[#This Row],[Spender]]="MV",OFFSET(Table2[[#This Row],[MV Balance]],-1,0)-Table2[[#This Row],[Amount]],OFFSET(Table2[[#This Row],[MV Balance]],-1,0))</f>
        <v>4886.8099999999995</v>
      </c>
      <c r="G24" s="10">
        <f t="shared" ca="1" si="0"/>
        <v>8223.07</v>
      </c>
    </row>
    <row r="25" spans="1:7" x14ac:dyDescent="0.45">
      <c r="A25" s="8">
        <v>45994</v>
      </c>
      <c r="B25" s="16">
        <v>-10</v>
      </c>
      <c r="C25" s="11" t="s">
        <v>30</v>
      </c>
      <c r="D25" s="14" t="s">
        <v>245</v>
      </c>
      <c r="E25" s="10">
        <f ca="1">IF(Table2[[#This Row],[Spender]]="YEONG",OFFSET(Table2[[#This Row],[My Actual Balance]],-1,0)-Table2[[#This Row],[Amount]],OFFSET(Table2[[#This Row],[My Actual Balance]],-1,0))</f>
        <v>3346.26</v>
      </c>
      <c r="F25" s="10">
        <f ca="1">IF(Table2[[#This Row],[Spender]]="MV",OFFSET(Table2[[#This Row],[MV Balance]],-1,0)-Table2[[#This Row],[Amount]],OFFSET(Table2[[#This Row],[MV Balance]],-1,0))</f>
        <v>4886.8099999999995</v>
      </c>
      <c r="G25" s="10">
        <f t="shared" ca="1" si="0"/>
        <v>8233.07</v>
      </c>
    </row>
    <row r="26" spans="1:7" x14ac:dyDescent="0.45">
      <c r="A26" s="15">
        <v>45729</v>
      </c>
      <c r="B26" s="16">
        <v>2900</v>
      </c>
      <c r="C26" s="9" t="s">
        <v>11</v>
      </c>
      <c r="D26" s="13"/>
      <c r="E26" s="10">
        <f ca="1">IF(Table2[[#This Row],[Spender]]="YEONG",OFFSET(Table2[[#This Row],[My Actual Balance]],-1,0)-Table2[[#This Row],[Amount]],OFFSET(Table2[[#This Row],[My Actual Balance]],-1,0))</f>
        <v>3346.26</v>
      </c>
      <c r="F26" s="10">
        <f ca="1">IF(Table2[[#This Row],[Spender]]="MV",OFFSET(Table2[[#This Row],[MV Balance]],-1,0)-Table2[[#This Row],[Amount]],OFFSET(Table2[[#This Row],[MV Balance]],-1,0))</f>
        <v>1986.8099999999995</v>
      </c>
      <c r="G26" s="10">
        <f t="shared" ca="1" si="0"/>
        <v>5333.07</v>
      </c>
    </row>
    <row r="27" spans="1:7" x14ac:dyDescent="0.45">
      <c r="A27" s="15">
        <v>45730</v>
      </c>
      <c r="B27" s="16">
        <v>142.74</v>
      </c>
      <c r="C27" s="11" t="s">
        <v>30</v>
      </c>
      <c r="D27" s="14" t="s">
        <v>246</v>
      </c>
      <c r="E27" s="10">
        <f ca="1">IF(Table2[[#This Row],[Spender]]="YEONG",OFFSET(Table2[[#This Row],[My Actual Balance]],-1,0)-Table2[[#This Row],[Amount]],OFFSET(Table2[[#This Row],[My Actual Balance]],-1,0))</f>
        <v>3203.5200000000004</v>
      </c>
      <c r="F27" s="10">
        <f ca="1">IF(Table2[[#This Row],[Spender]]="MV",OFFSET(Table2[[#This Row],[MV Balance]],-1,0)-Table2[[#This Row],[Amount]],OFFSET(Table2[[#This Row],[MV Balance]],-1,0))</f>
        <v>1986.8099999999995</v>
      </c>
      <c r="G27" s="10">
        <f t="shared" ca="1" si="0"/>
        <v>5190.33</v>
      </c>
    </row>
    <row r="28" spans="1:7" x14ac:dyDescent="0.45">
      <c r="A28" s="15">
        <v>45730</v>
      </c>
      <c r="B28" s="16">
        <v>899</v>
      </c>
      <c r="C28" s="9" t="s">
        <v>11</v>
      </c>
      <c r="D28" s="13"/>
      <c r="E28" s="10">
        <f ca="1">IF(Table2[[#This Row],[Spender]]="YEONG",OFFSET(Table2[[#This Row],[My Actual Balance]],-1,0)-Table2[[#This Row],[Amount]],OFFSET(Table2[[#This Row],[My Actual Balance]],-1,0))</f>
        <v>3203.5200000000004</v>
      </c>
      <c r="F28" s="10">
        <f ca="1">IF(Table2[[#This Row],[Spender]]="MV",OFFSET(Table2[[#This Row],[MV Balance]],-1,0)-Table2[[#This Row],[Amount]],OFFSET(Table2[[#This Row],[MV Balance]],-1,0))</f>
        <v>1087.8099999999995</v>
      </c>
      <c r="G28" s="10">
        <f t="shared" ca="1" si="0"/>
        <v>4291.33</v>
      </c>
    </row>
    <row r="29" spans="1:7" x14ac:dyDescent="0.45">
      <c r="A29" s="15">
        <v>45730</v>
      </c>
      <c r="B29" s="16">
        <v>740</v>
      </c>
      <c r="C29" s="9" t="s">
        <v>11</v>
      </c>
      <c r="D29" s="13"/>
      <c r="E29" s="10">
        <f ca="1">IF(Table2[[#This Row],[Spender]]="YEONG",OFFSET(Table2[[#This Row],[My Actual Balance]],-1,0)-Table2[[#This Row],[Amount]],OFFSET(Table2[[#This Row],[My Actual Balance]],-1,0))</f>
        <v>3203.5200000000004</v>
      </c>
      <c r="F29" s="10">
        <f ca="1">IF(Table2[[#This Row],[Spender]]="MV",OFFSET(Table2[[#This Row],[MV Balance]],-1,0)-Table2[[#This Row],[Amount]],OFFSET(Table2[[#This Row],[MV Balance]],-1,0))</f>
        <v>347.80999999999949</v>
      </c>
      <c r="G29" s="10">
        <f t="shared" ca="1" si="0"/>
        <v>3551.33</v>
      </c>
    </row>
    <row r="30" spans="1:7" x14ac:dyDescent="0.45">
      <c r="A30" s="15">
        <v>45736</v>
      </c>
      <c r="B30" s="16">
        <v>-10000</v>
      </c>
      <c r="C30" s="9" t="s">
        <v>11</v>
      </c>
      <c r="D30" s="13"/>
      <c r="E30" s="10">
        <f ca="1">IF(Table2[[#This Row],[Spender]]="YEONG",OFFSET(Table2[[#This Row],[My Actual Balance]],-1,0)-Table2[[#This Row],[Amount]],OFFSET(Table2[[#This Row],[My Actual Balance]],-1,0))</f>
        <v>3203.5200000000004</v>
      </c>
      <c r="F30" s="10">
        <f ca="1">IF(Table2[[#This Row],[Spender]]="MV",OFFSET(Table2[[#This Row],[MV Balance]],-1,0)-Table2[[#This Row],[Amount]],OFFSET(Table2[[#This Row],[MV Balance]],-1,0))</f>
        <v>10347.81</v>
      </c>
      <c r="G30" s="10">
        <f t="shared" ca="1" si="0"/>
        <v>13551.33</v>
      </c>
    </row>
    <row r="31" spans="1:7" x14ac:dyDescent="0.45">
      <c r="A31" s="15">
        <v>45736</v>
      </c>
      <c r="B31" s="16">
        <v>3750</v>
      </c>
      <c r="C31" s="9" t="s">
        <v>11</v>
      </c>
      <c r="D31" s="13"/>
      <c r="E31" s="10">
        <f ca="1">IF(Table2[[#This Row],[Spender]]="YEONG",OFFSET(Table2[[#This Row],[My Actual Balance]],-1,0)-Table2[[#This Row],[Amount]],OFFSET(Table2[[#This Row],[My Actual Balance]],-1,0))</f>
        <v>3203.5200000000004</v>
      </c>
      <c r="F31" s="10">
        <f ca="1">IF(Table2[[#This Row],[Spender]]="MV",OFFSET(Table2[[#This Row],[MV Balance]],-1,0)-Table2[[#This Row],[Amount]],OFFSET(Table2[[#This Row],[MV Balance]],-1,0))</f>
        <v>6597.8099999999995</v>
      </c>
      <c r="G31" s="10">
        <f t="shared" ca="1" si="0"/>
        <v>9801.33</v>
      </c>
    </row>
    <row r="32" spans="1:7" x14ac:dyDescent="0.45">
      <c r="A32" s="15">
        <v>45742</v>
      </c>
      <c r="B32" s="16">
        <v>2900</v>
      </c>
      <c r="C32" s="9" t="s">
        <v>11</v>
      </c>
      <c r="D32" s="13"/>
      <c r="E32" s="10">
        <f ca="1">IF(Table2[[#This Row],[Spender]]="YEONG",OFFSET(Table2[[#This Row],[My Actual Balance]],-1,0)-Table2[[#This Row],[Amount]],OFFSET(Table2[[#This Row],[My Actual Balance]],-1,0))</f>
        <v>3203.5200000000004</v>
      </c>
      <c r="F32" s="10">
        <f ca="1">IF(Table2[[#This Row],[Spender]]="MV",OFFSET(Table2[[#This Row],[MV Balance]],-1,0)-Table2[[#This Row],[Amount]],OFFSET(Table2[[#This Row],[MV Balance]],-1,0))</f>
        <v>3697.8099999999995</v>
      </c>
      <c r="G32" s="10">
        <f t="shared" ca="1" si="0"/>
        <v>6901.33</v>
      </c>
    </row>
    <row r="33" spans="1:7" x14ac:dyDescent="0.45">
      <c r="A33" s="15">
        <v>45742</v>
      </c>
      <c r="B33" s="16">
        <v>-1.34</v>
      </c>
      <c r="C33" s="11" t="s">
        <v>30</v>
      </c>
      <c r="D33" s="14" t="s">
        <v>247</v>
      </c>
      <c r="E33" s="10">
        <f ca="1">IF(Table2[[#This Row],[Spender]]="YEONG",OFFSET(Table2[[#This Row],[My Actual Balance]],-1,0)-Table2[[#This Row],[Amount]],OFFSET(Table2[[#This Row],[My Actual Balance]],-1,0))</f>
        <v>3204.8600000000006</v>
      </c>
      <c r="F33" s="10">
        <f ca="1">IF(Table2[[#This Row],[Spender]]="MV",OFFSET(Table2[[#This Row],[MV Balance]],-1,0)-Table2[[#This Row],[Amount]],OFFSET(Table2[[#This Row],[MV Balance]],-1,0))</f>
        <v>3697.8099999999995</v>
      </c>
      <c r="G33" s="10">
        <f t="shared" ca="1" si="0"/>
        <v>6902.67</v>
      </c>
    </row>
    <row r="34" spans="1:7" x14ac:dyDescent="0.45">
      <c r="A34" s="8">
        <v>45661</v>
      </c>
      <c r="B34" s="16">
        <v>26.2</v>
      </c>
      <c r="C34" s="11" t="s">
        <v>30</v>
      </c>
      <c r="D34" s="14" t="s">
        <v>222</v>
      </c>
      <c r="E34" s="10">
        <f ca="1">IF(Table2[[#This Row],[Spender]]="YEONG",OFFSET(Table2[[#This Row],[My Actual Balance]],-1,0)-Table2[[#This Row],[Amount]],OFFSET(Table2[[#This Row],[My Actual Balance]],-1,0))</f>
        <v>3178.6600000000008</v>
      </c>
      <c r="F34" s="10">
        <f ca="1">IF(Table2[[#This Row],[Spender]]="MV",OFFSET(Table2[[#This Row],[MV Balance]],-1,0)-Table2[[#This Row],[Amount]],OFFSET(Table2[[#This Row],[MV Balance]],-1,0))</f>
        <v>3697.8099999999995</v>
      </c>
      <c r="G34" s="10">
        <f t="shared" ca="1" si="0"/>
        <v>6876.47</v>
      </c>
    </row>
    <row r="35" spans="1:7" x14ac:dyDescent="0.45">
      <c r="A35" s="8">
        <v>45720</v>
      </c>
      <c r="B35" s="16">
        <v>509.2</v>
      </c>
      <c r="C35" s="9" t="s">
        <v>11</v>
      </c>
      <c r="D35" s="13"/>
      <c r="E35" s="10">
        <f ca="1">IF(Table2[[#This Row],[Spender]]="YEONG",OFFSET(Table2[[#This Row],[My Actual Balance]],-1,0)-Table2[[#This Row],[Amount]],OFFSET(Table2[[#This Row],[My Actual Balance]],-1,0))</f>
        <v>3178.6600000000008</v>
      </c>
      <c r="F35" s="10">
        <f ca="1">IF(Table2[[#This Row],[Spender]]="MV",OFFSET(Table2[[#This Row],[MV Balance]],-1,0)-Table2[[#This Row],[Amount]],OFFSET(Table2[[#This Row],[MV Balance]],-1,0))</f>
        <v>3188.6099999999997</v>
      </c>
      <c r="G35" s="10">
        <f t="shared" ref="G35:G66" ca="1" si="1">SUM(E35:F35)</f>
        <v>6367.27</v>
      </c>
    </row>
    <row r="36" spans="1:7" x14ac:dyDescent="0.45">
      <c r="A36" s="8">
        <v>45720</v>
      </c>
      <c r="B36" s="16">
        <v>825</v>
      </c>
      <c r="C36" s="9" t="s">
        <v>11</v>
      </c>
      <c r="D36" s="13"/>
      <c r="E36" s="10">
        <f ca="1">IF(Table2[[#This Row],[Spender]]="YEONG",OFFSET(Table2[[#This Row],[My Actual Balance]],-1,0)-Table2[[#This Row],[Amount]],OFFSET(Table2[[#This Row],[My Actual Balance]],-1,0))</f>
        <v>3178.6600000000008</v>
      </c>
      <c r="F36" s="10">
        <f ca="1">IF(Table2[[#This Row],[Spender]]="MV",OFFSET(Table2[[#This Row],[MV Balance]],-1,0)-Table2[[#This Row],[Amount]],OFFSET(Table2[[#This Row],[MV Balance]],-1,0))</f>
        <v>2363.6099999999997</v>
      </c>
      <c r="G36" s="10">
        <f t="shared" ca="1" si="1"/>
        <v>5542.27</v>
      </c>
    </row>
    <row r="37" spans="1:7" x14ac:dyDescent="0.45">
      <c r="A37" s="8">
        <v>45720</v>
      </c>
      <c r="B37" s="16">
        <v>554</v>
      </c>
      <c r="C37" s="9" t="s">
        <v>11</v>
      </c>
      <c r="D37" s="13"/>
      <c r="E37" s="10">
        <f ca="1">IF(Table2[[#This Row],[Spender]]="YEONG",OFFSET(Table2[[#This Row],[My Actual Balance]],-1,0)-Table2[[#This Row],[Amount]],OFFSET(Table2[[#This Row],[My Actual Balance]],-1,0))</f>
        <v>3178.6600000000008</v>
      </c>
      <c r="F37" s="10">
        <f ca="1">IF(Table2[[#This Row],[Spender]]="MV",OFFSET(Table2[[#This Row],[MV Balance]],-1,0)-Table2[[#This Row],[Amount]],OFFSET(Table2[[#This Row],[MV Balance]],-1,0))</f>
        <v>1809.6099999999997</v>
      </c>
      <c r="G37" s="10">
        <f t="shared" ca="1" si="1"/>
        <v>4988.2700000000004</v>
      </c>
    </row>
    <row r="38" spans="1:7" x14ac:dyDescent="0.45">
      <c r="A38" s="8">
        <v>45781</v>
      </c>
      <c r="B38" s="16">
        <v>555</v>
      </c>
      <c r="C38" s="9" t="s">
        <v>11</v>
      </c>
      <c r="D38" s="13"/>
      <c r="E38" s="10">
        <f ca="1">IF(Table2[[#This Row],[Spender]]="YEONG",OFFSET(Table2[[#This Row],[My Actual Balance]],-1,0)-Table2[[#This Row],[Amount]],OFFSET(Table2[[#This Row],[My Actual Balance]],-1,0))</f>
        <v>3178.6600000000008</v>
      </c>
      <c r="F38" s="10">
        <f ca="1">IF(Table2[[#This Row],[Spender]]="MV",OFFSET(Table2[[#This Row],[MV Balance]],-1,0)-Table2[[#This Row],[Amount]],OFFSET(Table2[[#This Row],[MV Balance]],-1,0))</f>
        <v>1254.6099999999997</v>
      </c>
      <c r="G38" s="10">
        <f t="shared" ca="1" si="1"/>
        <v>4433.2700000000004</v>
      </c>
    </row>
    <row r="39" spans="1:7" x14ac:dyDescent="0.45">
      <c r="A39" s="8">
        <v>45781</v>
      </c>
      <c r="B39" s="16">
        <v>842.5</v>
      </c>
      <c r="C39" s="9" t="s">
        <v>11</v>
      </c>
      <c r="D39" s="13"/>
      <c r="E39" s="10">
        <f ca="1">IF(Table2[[#This Row],[Spender]]="YEONG",OFFSET(Table2[[#This Row],[My Actual Balance]],-1,0)-Table2[[#This Row],[Amount]],OFFSET(Table2[[#This Row],[My Actual Balance]],-1,0))</f>
        <v>3178.6600000000008</v>
      </c>
      <c r="F39" s="10">
        <f ca="1">IF(Table2[[#This Row],[Spender]]="MV",OFFSET(Table2[[#This Row],[MV Balance]],-1,0)-Table2[[#This Row],[Amount]],OFFSET(Table2[[#This Row],[MV Balance]],-1,0))</f>
        <v>412.10999999999967</v>
      </c>
      <c r="G39" s="10">
        <f t="shared" ca="1" si="1"/>
        <v>3590.7700000000004</v>
      </c>
    </row>
    <row r="40" spans="1:7" x14ac:dyDescent="0.45">
      <c r="A40" s="8">
        <v>45873</v>
      </c>
      <c r="B40" s="16">
        <v>-10000</v>
      </c>
      <c r="C40" s="9" t="s">
        <v>11</v>
      </c>
      <c r="D40" s="13"/>
      <c r="E40" s="10">
        <f ca="1">IF(Table2[[#This Row],[Spender]]="YEONG",OFFSET(Table2[[#This Row],[My Actual Balance]],-1,0)-Table2[[#This Row],[Amount]],OFFSET(Table2[[#This Row],[My Actual Balance]],-1,0))</f>
        <v>3178.6600000000008</v>
      </c>
      <c r="F40" s="10">
        <f ca="1">IF(Table2[[#This Row],[Spender]]="MV",OFFSET(Table2[[#This Row],[MV Balance]],-1,0)-Table2[[#This Row],[Amount]],OFFSET(Table2[[#This Row],[MV Balance]],-1,0))</f>
        <v>10412.11</v>
      </c>
      <c r="G40" s="10">
        <f t="shared" ca="1" si="1"/>
        <v>13590.77</v>
      </c>
    </row>
    <row r="41" spans="1:7" x14ac:dyDescent="0.45">
      <c r="A41" s="8">
        <v>45904</v>
      </c>
      <c r="B41" s="16">
        <v>615</v>
      </c>
      <c r="C41" s="9" t="s">
        <v>11</v>
      </c>
      <c r="D41" s="13"/>
      <c r="E41" s="10">
        <f ca="1">IF(Table2[[#This Row],[Spender]]="YEONG",OFFSET(Table2[[#This Row],[My Actual Balance]],-1,0)-Table2[[#This Row],[Amount]],OFFSET(Table2[[#This Row],[My Actual Balance]],-1,0))</f>
        <v>3178.6600000000008</v>
      </c>
      <c r="F41" s="10">
        <f ca="1">IF(Table2[[#This Row],[Spender]]="MV",OFFSET(Table2[[#This Row],[MV Balance]],-1,0)-Table2[[#This Row],[Amount]],OFFSET(Table2[[#This Row],[MV Balance]],-1,0))</f>
        <v>9797.11</v>
      </c>
      <c r="G41" s="10">
        <f t="shared" ca="1" si="1"/>
        <v>12975.77</v>
      </c>
    </row>
    <row r="42" spans="1:7" x14ac:dyDescent="0.45">
      <c r="A42" s="8">
        <v>45904</v>
      </c>
      <c r="B42" s="16">
        <v>537</v>
      </c>
      <c r="C42" s="9" t="s">
        <v>11</v>
      </c>
      <c r="D42" s="13"/>
      <c r="E42" s="10">
        <f ca="1">IF(Table2[[#This Row],[Spender]]="YEONG",OFFSET(Table2[[#This Row],[My Actual Balance]],-1,0)-Table2[[#This Row],[Amount]],OFFSET(Table2[[#This Row],[My Actual Balance]],-1,0))</f>
        <v>3178.6600000000008</v>
      </c>
      <c r="F42" s="10">
        <f ca="1">IF(Table2[[#This Row],[Spender]]="MV",OFFSET(Table2[[#This Row],[MV Balance]],-1,0)-Table2[[#This Row],[Amount]],OFFSET(Table2[[#This Row],[MV Balance]],-1,0))</f>
        <v>9260.11</v>
      </c>
      <c r="G42" s="10">
        <f t="shared" ca="1" si="1"/>
        <v>12438.77</v>
      </c>
    </row>
    <row r="43" spans="1:7" x14ac:dyDescent="0.45">
      <c r="A43" s="8">
        <v>45904</v>
      </c>
      <c r="B43" s="16">
        <v>849</v>
      </c>
      <c r="C43" s="9" t="s">
        <v>11</v>
      </c>
      <c r="D43" s="13"/>
      <c r="E43" s="10">
        <f ca="1">IF(Table2[[#This Row],[Spender]]="YEONG",OFFSET(Table2[[#This Row],[My Actual Balance]],-1,0)-Table2[[#This Row],[Amount]],OFFSET(Table2[[#This Row],[My Actual Balance]],-1,0))</f>
        <v>3178.6600000000008</v>
      </c>
      <c r="F43" s="10">
        <f ca="1">IF(Table2[[#This Row],[Spender]]="MV",OFFSET(Table2[[#This Row],[MV Balance]],-1,0)-Table2[[#This Row],[Amount]],OFFSET(Table2[[#This Row],[MV Balance]],-1,0))</f>
        <v>8411.11</v>
      </c>
      <c r="G43" s="10">
        <f t="shared" ca="1" si="1"/>
        <v>11589.77</v>
      </c>
    </row>
    <row r="44" spans="1:7" x14ac:dyDescent="0.45">
      <c r="A44" s="8">
        <v>45904</v>
      </c>
      <c r="B44" s="16">
        <v>860</v>
      </c>
      <c r="C44" s="9" t="s">
        <v>11</v>
      </c>
      <c r="D44" s="13"/>
      <c r="E44" s="10">
        <f ca="1">IF(Table2[[#This Row],[Spender]]="YEONG",OFFSET(Table2[[#This Row],[My Actual Balance]],-1,0)-Table2[[#This Row],[Amount]],OFFSET(Table2[[#This Row],[My Actual Balance]],-1,0))</f>
        <v>3178.6600000000008</v>
      </c>
      <c r="F44" s="10">
        <f ca="1">IF(Table2[[#This Row],[Spender]]="MV",OFFSET(Table2[[#This Row],[MV Balance]],-1,0)-Table2[[#This Row],[Amount]],OFFSET(Table2[[#This Row],[MV Balance]],-1,0))</f>
        <v>7551.1100000000006</v>
      </c>
      <c r="G44" s="10">
        <f t="shared" ca="1" si="1"/>
        <v>10729.77</v>
      </c>
    </row>
    <row r="45" spans="1:7" x14ac:dyDescent="0.45">
      <c r="A45" s="8">
        <v>45904</v>
      </c>
      <c r="B45" s="16">
        <v>1558</v>
      </c>
      <c r="C45" s="9" t="s">
        <v>11</v>
      </c>
      <c r="D45" s="13"/>
      <c r="E45" s="10">
        <f ca="1">IF(Table2[[#This Row],[Spender]]="YEONG",OFFSET(Table2[[#This Row],[My Actual Balance]],-1,0)-Table2[[#This Row],[Amount]],OFFSET(Table2[[#This Row],[My Actual Balance]],-1,0))</f>
        <v>3178.6600000000008</v>
      </c>
      <c r="F45" s="10">
        <f ca="1">IF(Table2[[#This Row],[Spender]]="MV",OFFSET(Table2[[#This Row],[MV Balance]],-1,0)-Table2[[#This Row],[Amount]],OFFSET(Table2[[#This Row],[MV Balance]],-1,0))</f>
        <v>5993.1100000000006</v>
      </c>
      <c r="G45" s="10">
        <f t="shared" ca="1" si="1"/>
        <v>9171.77</v>
      </c>
    </row>
    <row r="46" spans="1:7" x14ac:dyDescent="0.45">
      <c r="A46" s="8">
        <v>45965</v>
      </c>
      <c r="B46" s="16">
        <v>730</v>
      </c>
      <c r="C46" s="9" t="s">
        <v>11</v>
      </c>
      <c r="D46" s="13"/>
      <c r="E46" s="10">
        <f ca="1">IF(Table2[[#This Row],[Spender]]="YEONG",OFFSET(Table2[[#This Row],[My Actual Balance]],-1,0)-Table2[[#This Row],[Amount]],OFFSET(Table2[[#This Row],[My Actual Balance]],-1,0))</f>
        <v>3178.6600000000008</v>
      </c>
      <c r="F46" s="10">
        <f ca="1">IF(Table2[[#This Row],[Spender]]="MV",OFFSET(Table2[[#This Row],[MV Balance]],-1,0)-Table2[[#This Row],[Amount]],OFFSET(Table2[[#This Row],[MV Balance]],-1,0))</f>
        <v>5263.1100000000006</v>
      </c>
      <c r="G46" s="10">
        <f t="shared" ca="1" si="1"/>
        <v>8441.77</v>
      </c>
    </row>
    <row r="47" spans="1:7" x14ac:dyDescent="0.45">
      <c r="A47" s="8">
        <v>45965</v>
      </c>
      <c r="B47" s="16">
        <v>438</v>
      </c>
      <c r="C47" s="9" t="s">
        <v>11</v>
      </c>
      <c r="D47" s="13"/>
      <c r="E47" s="10">
        <f ca="1">IF(Table2[[#This Row],[Spender]]="YEONG",OFFSET(Table2[[#This Row],[My Actual Balance]],-1,0)-Table2[[#This Row],[Amount]],OFFSET(Table2[[#This Row],[My Actual Balance]],-1,0))</f>
        <v>3178.6600000000008</v>
      </c>
      <c r="F47" s="10">
        <f ca="1">IF(Table2[[#This Row],[Spender]]="MV",OFFSET(Table2[[#This Row],[MV Balance]],-1,0)-Table2[[#This Row],[Amount]],OFFSET(Table2[[#This Row],[MV Balance]],-1,0))</f>
        <v>4825.1100000000006</v>
      </c>
      <c r="G47" s="10">
        <f t="shared" ca="1" si="1"/>
        <v>8003.7700000000013</v>
      </c>
    </row>
    <row r="48" spans="1:7" x14ac:dyDescent="0.45">
      <c r="A48" s="8">
        <v>45768</v>
      </c>
      <c r="B48" s="16">
        <v>700</v>
      </c>
      <c r="C48" s="11" t="s">
        <v>30</v>
      </c>
      <c r="D48" s="14" t="s">
        <v>248</v>
      </c>
      <c r="E48" s="10">
        <f ca="1">IF(Table2[[#This Row],[Spender]]="YEONG",OFFSET(Table2[[#This Row],[My Actual Balance]],-1,0)-Table2[[#This Row],[Amount]],OFFSET(Table2[[#This Row],[My Actual Balance]],-1,0))</f>
        <v>2478.6600000000008</v>
      </c>
      <c r="F48" s="10">
        <f ca="1">IF(Table2[[#This Row],[Spender]]="MV",OFFSET(Table2[[#This Row],[MV Balance]],-1,0)-Table2[[#This Row],[Amount]],OFFSET(Table2[[#This Row],[MV Balance]],-1,0))</f>
        <v>4825.1100000000006</v>
      </c>
      <c r="G48" s="10">
        <f t="shared" ca="1" si="1"/>
        <v>7303.7700000000013</v>
      </c>
    </row>
    <row r="49" spans="1:7" x14ac:dyDescent="0.45">
      <c r="A49" s="8">
        <v>45769</v>
      </c>
      <c r="B49" s="16">
        <v>4055.47</v>
      </c>
      <c r="C49" s="9" t="s">
        <v>11</v>
      </c>
      <c r="D49" s="13"/>
      <c r="E49" s="10">
        <f ca="1">IF(Table2[[#This Row],[Spender]]="YEONG",OFFSET(Table2[[#This Row],[My Actual Balance]],-1,0)-Table2[[#This Row],[Amount]],OFFSET(Table2[[#This Row],[My Actual Balance]],-1,0))</f>
        <v>2478.6600000000008</v>
      </c>
      <c r="F49" s="10">
        <f ca="1">IF(Table2[[#This Row],[Spender]]="MV",OFFSET(Table2[[#This Row],[MV Balance]],-1,0)-Table2[[#This Row],[Amount]],OFFSET(Table2[[#This Row],[MV Balance]],-1,0))</f>
        <v>769.64000000000078</v>
      </c>
      <c r="G49" s="10">
        <f t="shared" ca="1" si="1"/>
        <v>3248.3000000000015</v>
      </c>
    </row>
    <row r="50" spans="1:7" x14ac:dyDescent="0.45">
      <c r="A50" s="8">
        <v>45769</v>
      </c>
      <c r="B50" s="16">
        <v>-10000</v>
      </c>
      <c r="C50" s="11" t="s">
        <v>30</v>
      </c>
      <c r="D50" s="13"/>
      <c r="E50" s="10">
        <f ca="1">IF(Table2[[#This Row],[Spender]]="YEONG",OFFSET(Table2[[#This Row],[My Actual Balance]],-1,0)-Table2[[#This Row],[Amount]],OFFSET(Table2[[#This Row],[My Actual Balance]],-1,0))</f>
        <v>12478.66</v>
      </c>
      <c r="F50" s="10">
        <f ca="1">IF(Table2[[#This Row],[Spender]]="MV",OFFSET(Table2[[#This Row],[MV Balance]],-1,0)-Table2[[#This Row],[Amount]],OFFSET(Table2[[#This Row],[MV Balance]],-1,0))</f>
        <v>769.64000000000078</v>
      </c>
      <c r="G50" s="10">
        <f t="shared" ca="1" si="1"/>
        <v>13248.300000000001</v>
      </c>
    </row>
    <row r="51" spans="1:7" x14ac:dyDescent="0.45">
      <c r="A51" s="8">
        <v>45772</v>
      </c>
      <c r="B51" s="16">
        <v>500</v>
      </c>
      <c r="C51" s="11" t="s">
        <v>30</v>
      </c>
      <c r="D51" s="14" t="s">
        <v>249</v>
      </c>
      <c r="E51" s="10">
        <f ca="1">IF(Table2[[#This Row],[Spender]]="YEONG",OFFSET(Table2[[#This Row],[My Actual Balance]],-1,0)-Table2[[#This Row],[Amount]],OFFSET(Table2[[#This Row],[My Actual Balance]],-1,0))</f>
        <v>11978.66</v>
      </c>
      <c r="F51" s="10">
        <f ca="1">IF(Table2[[#This Row],[Spender]]="MV",OFFSET(Table2[[#This Row],[MV Balance]],-1,0)-Table2[[#This Row],[Amount]],OFFSET(Table2[[#This Row],[MV Balance]],-1,0))</f>
        <v>769.64000000000078</v>
      </c>
      <c r="G51" s="10">
        <f t="shared" ca="1" si="1"/>
        <v>12748.300000000001</v>
      </c>
    </row>
    <row r="52" spans="1:7" x14ac:dyDescent="0.45">
      <c r="A52" s="8">
        <v>45772</v>
      </c>
      <c r="B52" s="16">
        <v>825</v>
      </c>
      <c r="C52" s="9" t="s">
        <v>11</v>
      </c>
      <c r="D52" s="13"/>
      <c r="E52" s="10">
        <f ca="1">IF(Table2[[#This Row],[Spender]]="YEONG",OFFSET(Table2[[#This Row],[My Actual Balance]],-1,0)-Table2[[#This Row],[Amount]],OFFSET(Table2[[#This Row],[My Actual Balance]],-1,0))</f>
        <v>11978.66</v>
      </c>
      <c r="F52" s="10">
        <f ca="1">IF(Table2[[#This Row],[Spender]]="MV",OFFSET(Table2[[#This Row],[MV Balance]],-1,0)-Table2[[#This Row],[Amount]],OFFSET(Table2[[#This Row],[MV Balance]],-1,0))</f>
        <v>-55.359999999999218</v>
      </c>
      <c r="G52" s="10">
        <f t="shared" ca="1" si="1"/>
        <v>11923.300000000001</v>
      </c>
    </row>
    <row r="53" spans="1:7" x14ac:dyDescent="0.45">
      <c r="A53" s="8">
        <v>45773</v>
      </c>
      <c r="B53" s="16">
        <v>500</v>
      </c>
      <c r="C53" s="11" t="s">
        <v>30</v>
      </c>
      <c r="D53" s="14" t="s">
        <v>249</v>
      </c>
      <c r="E53" s="10">
        <f ca="1">IF(Table2[[#This Row],[Spender]]="YEONG",OFFSET(Table2[[#This Row],[My Actual Balance]],-1,0)-Table2[[#This Row],[Amount]],OFFSET(Table2[[#This Row],[My Actual Balance]],-1,0))</f>
        <v>11478.66</v>
      </c>
      <c r="F53" s="10">
        <f ca="1">IF(Table2[[#This Row],[Spender]]="MV",OFFSET(Table2[[#This Row],[MV Balance]],-1,0)-Table2[[#This Row],[Amount]],OFFSET(Table2[[#This Row],[MV Balance]],-1,0))</f>
        <v>-55.359999999999218</v>
      </c>
      <c r="G53" s="10">
        <f t="shared" ca="1" si="1"/>
        <v>11423.300000000001</v>
      </c>
    </row>
    <row r="54" spans="1:7" x14ac:dyDescent="0.45">
      <c r="A54" s="8">
        <v>45693</v>
      </c>
      <c r="B54" s="16">
        <v>500</v>
      </c>
      <c r="C54" s="11" t="s">
        <v>30</v>
      </c>
      <c r="D54" s="14" t="s">
        <v>249</v>
      </c>
      <c r="E54" s="10">
        <f ca="1">IF(Table2[[#This Row],[Spender]]="YEONG",OFFSET(Table2[[#This Row],[My Actual Balance]],-1,0)-Table2[[#This Row],[Amount]],OFFSET(Table2[[#This Row],[My Actual Balance]],-1,0))</f>
        <v>10978.66</v>
      </c>
      <c r="F54" s="10">
        <f ca="1">IF(Table2[[#This Row],[Spender]]="MV",OFFSET(Table2[[#This Row],[MV Balance]],-1,0)-Table2[[#This Row],[Amount]],OFFSET(Table2[[#This Row],[MV Balance]],-1,0))</f>
        <v>-55.359999999999218</v>
      </c>
      <c r="G54" s="10">
        <f t="shared" ca="1" si="1"/>
        <v>10923.300000000001</v>
      </c>
    </row>
    <row r="55" spans="1:7" x14ac:dyDescent="0.45">
      <c r="A55" s="8">
        <v>45776</v>
      </c>
      <c r="B55" s="16">
        <v>-10000</v>
      </c>
      <c r="C55" s="9" t="s">
        <v>11</v>
      </c>
      <c r="D55" s="13"/>
      <c r="E55" s="10">
        <f ca="1">IF(Table2[[#This Row],[Spender]]="YEONG",OFFSET(Table2[[#This Row],[My Actual Balance]],-1,0)-Table2[[#This Row],[Amount]],OFFSET(Table2[[#This Row],[My Actual Balance]],-1,0))</f>
        <v>10978.66</v>
      </c>
      <c r="F55" s="10">
        <f ca="1">IF(Table2[[#This Row],[Spender]]="MV",OFFSET(Table2[[#This Row],[MV Balance]],-1,0)-Table2[[#This Row],[Amount]],OFFSET(Table2[[#This Row],[MV Balance]],-1,0))</f>
        <v>9944.6400000000012</v>
      </c>
      <c r="G55" s="10">
        <f t="shared" ca="1" si="1"/>
        <v>20923.300000000003</v>
      </c>
    </row>
    <row r="56" spans="1:7" x14ac:dyDescent="0.45">
      <c r="A56" s="8">
        <v>45776</v>
      </c>
      <c r="B56" s="16">
        <v>4000</v>
      </c>
      <c r="C56" s="9" t="s">
        <v>11</v>
      </c>
      <c r="D56" s="13"/>
      <c r="E56" s="10">
        <f ca="1">IF(Table2[[#This Row],[Spender]]="YEONG",OFFSET(Table2[[#This Row],[My Actual Balance]],-1,0)-Table2[[#This Row],[Amount]],OFFSET(Table2[[#This Row],[My Actual Balance]],-1,0))</f>
        <v>10978.66</v>
      </c>
      <c r="F56" s="10">
        <f ca="1">IF(Table2[[#This Row],[Spender]]="MV",OFFSET(Table2[[#This Row],[MV Balance]],-1,0)-Table2[[#This Row],[Amount]],OFFSET(Table2[[#This Row],[MV Balance]],-1,0))</f>
        <v>5944.6400000000012</v>
      </c>
      <c r="G56" s="10">
        <f t="shared" ca="1" si="1"/>
        <v>16923.300000000003</v>
      </c>
    </row>
    <row r="57" spans="1:7" x14ac:dyDescent="0.45">
      <c r="A57" s="8">
        <v>45776</v>
      </c>
      <c r="B57" s="16">
        <v>3915</v>
      </c>
      <c r="C57" s="9" t="s">
        <v>11</v>
      </c>
      <c r="D57" s="13"/>
      <c r="E57" s="10">
        <f ca="1">IF(Table2[[#This Row],[Spender]]="YEONG",OFFSET(Table2[[#This Row],[My Actual Balance]],-1,0)-Table2[[#This Row],[Amount]],OFFSET(Table2[[#This Row],[My Actual Balance]],-1,0))</f>
        <v>10978.66</v>
      </c>
      <c r="F57" s="10">
        <f ca="1">IF(Table2[[#This Row],[Spender]]="MV",OFFSET(Table2[[#This Row],[MV Balance]],-1,0)-Table2[[#This Row],[Amount]],OFFSET(Table2[[#This Row],[MV Balance]],-1,0))</f>
        <v>2029.6400000000012</v>
      </c>
      <c r="G57" s="10">
        <f t="shared" ca="1" si="1"/>
        <v>13008.300000000001</v>
      </c>
    </row>
    <row r="58" spans="1:7" x14ac:dyDescent="0.45">
      <c r="A58" s="8">
        <v>45752</v>
      </c>
      <c r="B58" s="16">
        <v>3</v>
      </c>
      <c r="C58" s="11" t="s">
        <v>30</v>
      </c>
      <c r="D58" s="14" t="s">
        <v>222</v>
      </c>
      <c r="E58" s="10">
        <f ca="1">IF(Table2[[#This Row],[Spender]]="YEONG",OFFSET(Table2[[#This Row],[My Actual Balance]],-1,0)-Table2[[#This Row],[Amount]],OFFSET(Table2[[#This Row],[My Actual Balance]],-1,0))</f>
        <v>10975.66</v>
      </c>
      <c r="F58" s="10">
        <f ca="1">IF(Table2[[#This Row],[Spender]]="MV",OFFSET(Table2[[#This Row],[MV Balance]],-1,0)-Table2[[#This Row],[Amount]],OFFSET(Table2[[#This Row],[MV Balance]],-1,0))</f>
        <v>2029.6400000000012</v>
      </c>
      <c r="G58" s="10">
        <f t="shared" ca="1" si="1"/>
        <v>13005.300000000001</v>
      </c>
    </row>
    <row r="59" spans="1:7" x14ac:dyDescent="0.45">
      <c r="A59" s="8">
        <v>45782</v>
      </c>
      <c r="B59" s="16">
        <v>118</v>
      </c>
      <c r="C59" s="11" t="s">
        <v>30</v>
      </c>
      <c r="D59" s="13"/>
      <c r="E59" s="10">
        <f ca="1">IF(Table2[[#This Row],[Spender]]="YEONG",OFFSET(Table2[[#This Row],[My Actual Balance]],-1,0)-Table2[[#This Row],[Amount]],OFFSET(Table2[[#This Row],[My Actual Balance]],-1,0))</f>
        <v>10857.66</v>
      </c>
      <c r="F59" s="10">
        <f ca="1">IF(Table2[[#This Row],[Spender]]="MV",OFFSET(Table2[[#This Row],[MV Balance]],-1,0)-Table2[[#This Row],[Amount]],OFFSET(Table2[[#This Row],[MV Balance]],-1,0))</f>
        <v>2029.6400000000012</v>
      </c>
      <c r="G59" s="10">
        <f t="shared" ca="1" si="1"/>
        <v>12887.300000000001</v>
      </c>
    </row>
    <row r="60" spans="1:7" x14ac:dyDescent="0.45">
      <c r="A60" s="8">
        <v>45813</v>
      </c>
      <c r="B60" s="16">
        <v>68</v>
      </c>
      <c r="C60" s="11" t="s">
        <v>30</v>
      </c>
      <c r="D60" s="14" t="s">
        <v>250</v>
      </c>
      <c r="E60" s="10">
        <f ca="1">IF(Table2[[#This Row],[Spender]]="YEONG",OFFSET(Table2[[#This Row],[My Actual Balance]],-1,0)-Table2[[#This Row],[Amount]],OFFSET(Table2[[#This Row],[My Actual Balance]],-1,0))</f>
        <v>10789.66</v>
      </c>
      <c r="F60" s="10">
        <f ca="1">IF(Table2[[#This Row],[Spender]]="MV",OFFSET(Table2[[#This Row],[MV Balance]],-1,0)-Table2[[#This Row],[Amount]],OFFSET(Table2[[#This Row],[MV Balance]],-1,0))</f>
        <v>2029.6400000000012</v>
      </c>
      <c r="G60" s="10">
        <f t="shared" ca="1" si="1"/>
        <v>12819.300000000001</v>
      </c>
    </row>
    <row r="61" spans="1:7" x14ac:dyDescent="0.45">
      <c r="A61" s="8">
        <v>45843</v>
      </c>
      <c r="B61" s="16">
        <v>2029.64</v>
      </c>
      <c r="C61" s="9" t="s">
        <v>11</v>
      </c>
      <c r="D61" s="13"/>
      <c r="E61" s="10">
        <f ca="1">IF(Table2[[#This Row],[Spender]]="YEONG",OFFSET(Table2[[#This Row],[My Actual Balance]],-1,0)-Table2[[#This Row],[Amount]],OFFSET(Table2[[#This Row],[My Actual Balance]],-1,0))</f>
        <v>10789.66</v>
      </c>
      <c r="F61" s="10">
        <f ca="1">IF(Table2[[#This Row],[Spender]]="MV",OFFSET(Table2[[#This Row],[MV Balance]],-1,0)-Table2[[#This Row],[Amount]],OFFSET(Table2[[#This Row],[MV Balance]],-1,0))</f>
        <v>1.1368683772161603E-12</v>
      </c>
      <c r="G61" s="10">
        <f t="shared" ca="1" si="1"/>
        <v>10789.660000000002</v>
      </c>
    </row>
    <row r="62" spans="1:7" x14ac:dyDescent="0.45">
      <c r="A62" s="8">
        <v>45843</v>
      </c>
      <c r="B62" s="16">
        <v>1228.78</v>
      </c>
      <c r="C62" s="11" t="s">
        <v>30</v>
      </c>
      <c r="D62" s="14" t="s">
        <v>251</v>
      </c>
      <c r="E62" s="10">
        <f ca="1">IF(Table2[[#This Row],[Spender]]="YEONG",OFFSET(Table2[[#This Row],[My Actual Balance]],-1,0)-Table2[[#This Row],[Amount]],OFFSET(Table2[[#This Row],[My Actual Balance]],-1,0))</f>
        <v>9560.8799999999992</v>
      </c>
      <c r="F62" s="10">
        <f ca="1">IF(Table2[[#This Row],[Spender]]="MV",OFFSET(Table2[[#This Row],[MV Balance]],-1,0)-Table2[[#This Row],[Amount]],OFFSET(Table2[[#This Row],[MV Balance]],-1,0))</f>
        <v>1.1368683772161603E-12</v>
      </c>
      <c r="G62" s="10">
        <f t="shared" ca="1" si="1"/>
        <v>9560.880000000001</v>
      </c>
    </row>
    <row r="63" spans="1:7" x14ac:dyDescent="0.45">
      <c r="A63" s="8">
        <v>45874</v>
      </c>
      <c r="B63" s="16">
        <v>32</v>
      </c>
      <c r="C63" s="11" t="s">
        <v>30</v>
      </c>
      <c r="D63" s="13"/>
      <c r="E63" s="10">
        <f ca="1">IF(Table2[[#This Row],[Spender]]="YEONG",OFFSET(Table2[[#This Row],[My Actual Balance]],-1,0)-Table2[[#This Row],[Amount]],OFFSET(Table2[[#This Row],[My Actual Balance]],-1,0))</f>
        <v>9528.8799999999992</v>
      </c>
      <c r="F63" s="10">
        <f ca="1">IF(Table2[[#This Row],[Spender]]="MV",OFFSET(Table2[[#This Row],[MV Balance]],-1,0)-Table2[[#This Row],[Amount]],OFFSET(Table2[[#This Row],[MV Balance]],-1,0))</f>
        <v>1.1368683772161603E-12</v>
      </c>
      <c r="G63" s="10">
        <f t="shared" ca="1" si="1"/>
        <v>9528.880000000001</v>
      </c>
    </row>
    <row r="64" spans="1:7" x14ac:dyDescent="0.45">
      <c r="A64" s="8">
        <v>45874</v>
      </c>
      <c r="B64" s="16">
        <v>15</v>
      </c>
      <c r="C64" s="11" t="s">
        <v>30</v>
      </c>
      <c r="D64" s="13"/>
      <c r="E64" s="10">
        <f ca="1">IF(Table2[[#This Row],[Spender]]="YEONG",OFFSET(Table2[[#This Row],[My Actual Balance]],-1,0)-Table2[[#This Row],[Amount]],OFFSET(Table2[[#This Row],[My Actual Balance]],-1,0))</f>
        <v>9513.8799999999992</v>
      </c>
      <c r="F64" s="10">
        <f ca="1">IF(Table2[[#This Row],[Spender]]="MV",OFFSET(Table2[[#This Row],[MV Balance]],-1,0)-Table2[[#This Row],[Amount]],OFFSET(Table2[[#This Row],[MV Balance]],-1,0))</f>
        <v>1.1368683772161603E-12</v>
      </c>
      <c r="G64" s="10">
        <f t="shared" ca="1" si="1"/>
        <v>9513.880000000001</v>
      </c>
    </row>
    <row r="65" spans="1:7" x14ac:dyDescent="0.45">
      <c r="A65" s="8">
        <v>45874</v>
      </c>
      <c r="B65" s="16">
        <v>-10000</v>
      </c>
      <c r="C65" s="9" t="s">
        <v>11</v>
      </c>
      <c r="D65" s="13"/>
      <c r="E65" s="10">
        <f ca="1">IF(Table2[[#This Row],[Spender]]="YEONG",OFFSET(Table2[[#This Row],[My Actual Balance]],-1,0)-Table2[[#This Row],[Amount]],OFFSET(Table2[[#This Row],[My Actual Balance]],-1,0))</f>
        <v>9513.8799999999992</v>
      </c>
      <c r="F65" s="10">
        <f ca="1">IF(Table2[[#This Row],[Spender]]="MV",OFFSET(Table2[[#This Row],[MV Balance]],-1,0)-Table2[[#This Row],[Amount]],OFFSET(Table2[[#This Row],[MV Balance]],-1,0))</f>
        <v>10000.000000000002</v>
      </c>
      <c r="G65" s="10">
        <f t="shared" ca="1" si="1"/>
        <v>19513.88</v>
      </c>
    </row>
    <row r="66" spans="1:7" x14ac:dyDescent="0.45">
      <c r="A66" s="8">
        <v>45905</v>
      </c>
      <c r="B66" s="16">
        <v>16.5</v>
      </c>
      <c r="C66" s="11" t="s">
        <v>30</v>
      </c>
      <c r="D66" s="13"/>
      <c r="E66" s="10">
        <f ca="1">IF(Table2[[#This Row],[Spender]]="YEONG",OFFSET(Table2[[#This Row],[My Actual Balance]],-1,0)-Table2[[#This Row],[Amount]],OFFSET(Table2[[#This Row],[My Actual Balance]],-1,0))</f>
        <v>9497.3799999999992</v>
      </c>
      <c r="F66" s="10">
        <f ca="1">IF(Table2[[#This Row],[Spender]]="MV",OFFSET(Table2[[#This Row],[MV Balance]],-1,0)-Table2[[#This Row],[Amount]],OFFSET(Table2[[#This Row],[MV Balance]],-1,0))</f>
        <v>10000.000000000002</v>
      </c>
      <c r="G66" s="10">
        <f t="shared" ca="1" si="1"/>
        <v>19497.38</v>
      </c>
    </row>
    <row r="67" spans="1:7" x14ac:dyDescent="0.45">
      <c r="A67" s="8">
        <v>45905</v>
      </c>
      <c r="B67" s="16">
        <v>3384</v>
      </c>
      <c r="C67" s="9" t="s">
        <v>11</v>
      </c>
      <c r="D67" s="13"/>
      <c r="E67" s="10">
        <f ca="1">IF(Table2[[#This Row],[Spender]]="YEONG",OFFSET(Table2[[#This Row],[My Actual Balance]],-1,0)-Table2[[#This Row],[Amount]],OFFSET(Table2[[#This Row],[My Actual Balance]],-1,0))</f>
        <v>9497.3799999999992</v>
      </c>
      <c r="F67" s="10">
        <f ca="1">IF(Table2[[#This Row],[Spender]]="MV",OFFSET(Table2[[#This Row],[MV Balance]],-1,0)-Table2[[#This Row],[Amount]],OFFSET(Table2[[#This Row],[MV Balance]],-1,0))</f>
        <v>6616.0000000000018</v>
      </c>
      <c r="G67" s="10">
        <f t="shared" ref="G67:G91" ca="1" si="2">SUM(E67:F67)</f>
        <v>16113.380000000001</v>
      </c>
    </row>
    <row r="68" spans="1:7" x14ac:dyDescent="0.45">
      <c r="A68" s="8">
        <v>45905</v>
      </c>
      <c r="B68" s="16">
        <v>750</v>
      </c>
      <c r="C68" s="9" t="s">
        <v>11</v>
      </c>
      <c r="D68" s="13"/>
      <c r="E68" s="10">
        <f ca="1">IF(Table2[[#This Row],[Spender]]="YEONG",OFFSET(Table2[[#This Row],[My Actual Balance]],-1,0)-Table2[[#This Row],[Amount]],OFFSET(Table2[[#This Row],[My Actual Balance]],-1,0))</f>
        <v>9497.3799999999992</v>
      </c>
      <c r="F68" s="10">
        <f ca="1">IF(Table2[[#This Row],[Spender]]="MV",OFFSET(Table2[[#This Row],[MV Balance]],-1,0)-Table2[[#This Row],[Amount]],OFFSET(Table2[[#This Row],[MV Balance]],-1,0))</f>
        <v>5866.0000000000018</v>
      </c>
      <c r="G68" s="10">
        <f t="shared" ca="1" si="2"/>
        <v>15363.380000000001</v>
      </c>
    </row>
    <row r="69" spans="1:7" x14ac:dyDescent="0.45">
      <c r="A69" s="8">
        <v>45905</v>
      </c>
      <c r="B69" s="16">
        <v>30</v>
      </c>
      <c r="C69" s="11" t="s">
        <v>30</v>
      </c>
      <c r="D69" s="13"/>
      <c r="E69" s="10">
        <f ca="1">IF(Table2[[#This Row],[Spender]]="YEONG",OFFSET(Table2[[#This Row],[My Actual Balance]],-1,0)-Table2[[#This Row],[Amount]],OFFSET(Table2[[#This Row],[My Actual Balance]],-1,0))</f>
        <v>9467.3799999999992</v>
      </c>
      <c r="F69" s="10">
        <f ca="1">IF(Table2[[#This Row],[Spender]]="MV",OFFSET(Table2[[#This Row],[MV Balance]],-1,0)-Table2[[#This Row],[Amount]],OFFSET(Table2[[#This Row],[MV Balance]],-1,0))</f>
        <v>5866.0000000000018</v>
      </c>
      <c r="G69" s="10">
        <f t="shared" ca="1" si="2"/>
        <v>15333.380000000001</v>
      </c>
    </row>
    <row r="70" spans="1:7" x14ac:dyDescent="0.45">
      <c r="A70" s="8">
        <v>45996</v>
      </c>
      <c r="B70" s="16">
        <v>5866</v>
      </c>
      <c r="C70" s="9" t="s">
        <v>11</v>
      </c>
      <c r="D70" s="13"/>
      <c r="E70" s="10">
        <f ca="1">IF(Table2[[#This Row],[Spender]]="YEONG",OFFSET(Table2[[#This Row],[My Actual Balance]],-1,0)-Table2[[#This Row],[Amount]],OFFSET(Table2[[#This Row],[My Actual Balance]],-1,0))</f>
        <v>9467.3799999999992</v>
      </c>
      <c r="F70" s="10">
        <f ca="1">IF(Table2[[#This Row],[Spender]]="MV",OFFSET(Table2[[#This Row],[MV Balance]],-1,0)-Table2[[#This Row],[Amount]],OFFSET(Table2[[#This Row],[MV Balance]],-1,0))</f>
        <v>1.8189894035458565E-12</v>
      </c>
      <c r="G70" s="10">
        <f t="shared" ca="1" si="2"/>
        <v>9467.380000000001</v>
      </c>
    </row>
    <row r="71" spans="1:7" x14ac:dyDescent="0.45">
      <c r="A71" s="8">
        <v>45790</v>
      </c>
      <c r="B71" s="16">
        <v>753.23</v>
      </c>
      <c r="C71" s="11" t="s">
        <v>30</v>
      </c>
      <c r="D71" s="14" t="s">
        <v>251</v>
      </c>
      <c r="E71" s="10">
        <f ca="1">IF(Table2[[#This Row],[Spender]]="YEONG",OFFSET(Table2[[#This Row],[My Actual Balance]],-1,0)-Table2[[#This Row],[Amount]],OFFSET(Table2[[#This Row],[My Actual Balance]],-1,0))</f>
        <v>8714.15</v>
      </c>
      <c r="F71" s="10">
        <f ca="1">IF(Table2[[#This Row],[Spender]]="MV",OFFSET(Table2[[#This Row],[MV Balance]],-1,0)-Table2[[#This Row],[Amount]],OFFSET(Table2[[#This Row],[MV Balance]],-1,0))</f>
        <v>1.8189894035458565E-12</v>
      </c>
      <c r="G71" s="10">
        <f t="shared" ca="1" si="2"/>
        <v>8714.1500000000015</v>
      </c>
    </row>
    <row r="72" spans="1:7" x14ac:dyDescent="0.45">
      <c r="A72" s="8">
        <v>45792</v>
      </c>
      <c r="B72" s="16">
        <v>31.41</v>
      </c>
      <c r="C72" s="11" t="s">
        <v>30</v>
      </c>
      <c r="D72" s="14" t="s">
        <v>68</v>
      </c>
      <c r="E72" s="10">
        <f ca="1">IF(Table2[[#This Row],[Spender]]="YEONG",OFFSET(Table2[[#This Row],[My Actual Balance]],-1,0)-Table2[[#This Row],[Amount]],OFFSET(Table2[[#This Row],[My Actual Balance]],-1,0))</f>
        <v>8682.74</v>
      </c>
      <c r="F72" s="10">
        <f ca="1">IF(Table2[[#This Row],[Spender]]="MV",OFFSET(Table2[[#This Row],[MV Balance]],-1,0)-Table2[[#This Row],[Amount]],OFFSET(Table2[[#This Row],[MV Balance]],-1,0))</f>
        <v>1.8189894035458565E-12</v>
      </c>
      <c r="G72" s="10">
        <f t="shared" ca="1" si="2"/>
        <v>8682.7400000000016</v>
      </c>
    </row>
    <row r="73" spans="1:7" x14ac:dyDescent="0.45">
      <c r="A73" s="8">
        <v>45793</v>
      </c>
      <c r="B73" s="16">
        <v>-10000</v>
      </c>
      <c r="C73" s="9" t="s">
        <v>11</v>
      </c>
      <c r="D73" s="14" t="s">
        <v>15</v>
      </c>
      <c r="E73" s="10">
        <f ca="1">IF(Table2[[#This Row],[Spender]]="YEONG",OFFSET(Table2[[#This Row],[My Actual Balance]],-1,0)-Table2[[#This Row],[Amount]],OFFSET(Table2[[#This Row],[My Actual Balance]],-1,0))</f>
        <v>8682.74</v>
      </c>
      <c r="F73" s="10">
        <f ca="1">IF(Table2[[#This Row],[Spender]]="MV",OFFSET(Table2[[#This Row],[MV Balance]],-1,0)-Table2[[#This Row],[Amount]],OFFSET(Table2[[#This Row],[MV Balance]],-1,0))</f>
        <v>10000.000000000002</v>
      </c>
      <c r="G73" s="10">
        <f t="shared" ca="1" si="2"/>
        <v>18682.740000000002</v>
      </c>
    </row>
    <row r="74" spans="1:7" x14ac:dyDescent="0.45">
      <c r="A74" s="8">
        <v>45794</v>
      </c>
      <c r="B74" s="16">
        <v>811.5</v>
      </c>
      <c r="C74" s="9" t="s">
        <v>11</v>
      </c>
      <c r="D74" s="13"/>
      <c r="E74" s="10">
        <f ca="1">IF(Table2[[#This Row],[Spender]]="YEONG",OFFSET(Table2[[#This Row],[My Actual Balance]],-1,0)-Table2[[#This Row],[Amount]],OFFSET(Table2[[#This Row],[My Actual Balance]],-1,0))</f>
        <v>8682.74</v>
      </c>
      <c r="F74" s="10">
        <f ca="1">IF(Table2[[#This Row],[Spender]]="MV",OFFSET(Table2[[#This Row],[MV Balance]],-1,0)-Table2[[#This Row],[Amount]],OFFSET(Table2[[#This Row],[MV Balance]],-1,0))</f>
        <v>9188.5000000000018</v>
      </c>
      <c r="G74" s="10">
        <f t="shared" ca="1" si="2"/>
        <v>17871.240000000002</v>
      </c>
    </row>
    <row r="75" spans="1:7" x14ac:dyDescent="0.45">
      <c r="A75" s="8">
        <v>45794</v>
      </c>
      <c r="B75" s="16">
        <v>1010</v>
      </c>
      <c r="C75" s="9" t="s">
        <v>11</v>
      </c>
      <c r="D75" s="13"/>
      <c r="E75" s="10">
        <f ca="1">IF(Table2[[#This Row],[Spender]]="YEONG",OFFSET(Table2[[#This Row],[My Actual Balance]],-1,0)-Table2[[#This Row],[Amount]],OFFSET(Table2[[#This Row],[My Actual Balance]],-1,0))</f>
        <v>8682.74</v>
      </c>
      <c r="F75" s="10">
        <f ca="1">IF(Table2[[#This Row],[Spender]]="MV",OFFSET(Table2[[#This Row],[MV Balance]],-1,0)-Table2[[#This Row],[Amount]],OFFSET(Table2[[#This Row],[MV Balance]],-1,0))</f>
        <v>8178.5000000000018</v>
      </c>
      <c r="G75" s="10">
        <f t="shared" ca="1" si="2"/>
        <v>16861.240000000002</v>
      </c>
    </row>
    <row r="76" spans="1:7" x14ac:dyDescent="0.45">
      <c r="A76" s="8">
        <v>45795</v>
      </c>
      <c r="B76" s="16">
        <v>70</v>
      </c>
      <c r="C76" s="11" t="s">
        <v>30</v>
      </c>
      <c r="D76" s="14" t="s">
        <v>121</v>
      </c>
      <c r="E76" s="10">
        <f ca="1">IF(Table2[[#This Row],[Spender]]="YEONG",OFFSET(Table2[[#This Row],[My Actual Balance]],-1,0)-Table2[[#This Row],[Amount]],OFFSET(Table2[[#This Row],[My Actual Balance]],-1,0))</f>
        <v>8612.74</v>
      </c>
      <c r="F76" s="10">
        <f ca="1">IF(Table2[[#This Row],[Spender]]="MV",OFFSET(Table2[[#This Row],[MV Balance]],-1,0)-Table2[[#This Row],[Amount]],OFFSET(Table2[[#This Row],[MV Balance]],-1,0))</f>
        <v>8178.5000000000018</v>
      </c>
      <c r="G76" s="10">
        <f t="shared" ca="1" si="2"/>
        <v>16791.240000000002</v>
      </c>
    </row>
    <row r="77" spans="1:7" x14ac:dyDescent="0.45">
      <c r="A77" s="8">
        <v>45796</v>
      </c>
      <c r="B77" s="16">
        <v>1000</v>
      </c>
      <c r="C77" s="9" t="s">
        <v>11</v>
      </c>
      <c r="D77" s="13"/>
      <c r="E77" s="10">
        <f ca="1">IF(Table2[[#This Row],[Spender]]="YEONG",OFFSET(Table2[[#This Row],[My Actual Balance]],-1,0)-Table2[[#This Row],[Amount]],OFFSET(Table2[[#This Row],[My Actual Balance]],-1,0))</f>
        <v>8612.74</v>
      </c>
      <c r="F77" s="10">
        <f ca="1">IF(Table2[[#This Row],[Spender]]="MV",OFFSET(Table2[[#This Row],[MV Balance]],-1,0)-Table2[[#This Row],[Amount]],OFFSET(Table2[[#This Row],[MV Balance]],-1,0))</f>
        <v>7178.5000000000018</v>
      </c>
      <c r="G77" s="10">
        <f t="shared" ca="1" si="2"/>
        <v>15791.240000000002</v>
      </c>
    </row>
    <row r="78" spans="1:7" x14ac:dyDescent="0.45">
      <c r="A78" s="8">
        <v>45797</v>
      </c>
      <c r="B78" s="16">
        <v>1050</v>
      </c>
      <c r="C78" s="9" t="s">
        <v>11</v>
      </c>
      <c r="D78" s="13"/>
      <c r="E78" s="10">
        <f ca="1">IF(Table2[[#This Row],[Spender]]="YEONG",OFFSET(Table2[[#This Row],[My Actual Balance]],-1,0)-Table2[[#This Row],[Amount]],OFFSET(Table2[[#This Row],[My Actual Balance]],-1,0))</f>
        <v>8612.74</v>
      </c>
      <c r="F78" s="10">
        <f ca="1">IF(Table2[[#This Row],[Spender]]="MV",OFFSET(Table2[[#This Row],[MV Balance]],-1,0)-Table2[[#This Row],[Amount]],OFFSET(Table2[[#This Row],[MV Balance]],-1,0))</f>
        <v>6128.5000000000018</v>
      </c>
      <c r="G78" s="10">
        <f t="shared" ca="1" si="2"/>
        <v>14741.240000000002</v>
      </c>
    </row>
    <row r="79" spans="1:7" x14ac:dyDescent="0.45">
      <c r="A79" s="8">
        <v>45797</v>
      </c>
      <c r="B79" s="16">
        <v>830</v>
      </c>
      <c r="C79" s="9" t="s">
        <v>11</v>
      </c>
      <c r="D79" s="13"/>
      <c r="E79" s="10">
        <f ca="1">IF(Table2[[#This Row],[Spender]]="YEONG",OFFSET(Table2[[#This Row],[My Actual Balance]],-1,0)-Table2[[#This Row],[Amount]],OFFSET(Table2[[#This Row],[My Actual Balance]],-1,0))</f>
        <v>8612.74</v>
      </c>
      <c r="F79" s="10">
        <f ca="1">IF(Table2[[#This Row],[Spender]]="MV",OFFSET(Table2[[#This Row],[MV Balance]],-1,0)-Table2[[#This Row],[Amount]],OFFSET(Table2[[#This Row],[MV Balance]],-1,0))</f>
        <v>5298.5000000000018</v>
      </c>
      <c r="G79" s="10">
        <f t="shared" ca="1" si="2"/>
        <v>13911.240000000002</v>
      </c>
    </row>
    <row r="80" spans="1:7" x14ac:dyDescent="0.45">
      <c r="A80" s="8">
        <v>45800</v>
      </c>
      <c r="B80" s="16">
        <v>790</v>
      </c>
      <c r="C80" s="9" t="s">
        <v>11</v>
      </c>
      <c r="D80" s="13"/>
      <c r="E80" s="10">
        <f ca="1">IF(Table2[[#This Row],[Spender]]="YEONG",OFFSET(Table2[[#This Row],[My Actual Balance]],-1,0)-Table2[[#This Row],[Amount]],OFFSET(Table2[[#This Row],[My Actual Balance]],-1,0))</f>
        <v>8612.74</v>
      </c>
      <c r="F80" s="10">
        <f ca="1">IF(Table2[[#This Row],[Spender]]="MV",OFFSET(Table2[[#This Row],[MV Balance]],-1,0)-Table2[[#This Row],[Amount]],OFFSET(Table2[[#This Row],[MV Balance]],-1,0))</f>
        <v>4508.5000000000018</v>
      </c>
      <c r="G80" s="10">
        <f t="shared" ca="1" si="2"/>
        <v>13121.240000000002</v>
      </c>
    </row>
    <row r="81" spans="1:7" x14ac:dyDescent="0.45">
      <c r="A81" s="8">
        <v>45800</v>
      </c>
      <c r="B81" s="16">
        <v>645</v>
      </c>
      <c r="C81" s="9" t="s">
        <v>11</v>
      </c>
      <c r="D81" s="13"/>
      <c r="E81" s="10">
        <f ca="1">IF(Table2[[#This Row],[Spender]]="YEONG",OFFSET(Table2[[#This Row],[My Actual Balance]],-1,0)-Table2[[#This Row],[Amount]],OFFSET(Table2[[#This Row],[My Actual Balance]],-1,0))</f>
        <v>8612.74</v>
      </c>
      <c r="F81" s="10">
        <f ca="1">IF(Table2[[#This Row],[Spender]]="MV",OFFSET(Table2[[#This Row],[MV Balance]],-1,0)-Table2[[#This Row],[Amount]],OFFSET(Table2[[#This Row],[MV Balance]],-1,0))</f>
        <v>3863.5000000000018</v>
      </c>
      <c r="G81" s="10">
        <f t="shared" ca="1" si="2"/>
        <v>12476.240000000002</v>
      </c>
    </row>
    <row r="82" spans="1:7" x14ac:dyDescent="0.45">
      <c r="A82" s="8">
        <v>45805</v>
      </c>
      <c r="B82" s="16">
        <v>540</v>
      </c>
      <c r="C82" s="9" t="s">
        <v>11</v>
      </c>
      <c r="D82" s="14" t="s">
        <v>252</v>
      </c>
      <c r="E82" s="10">
        <f ca="1">IF(Table2[[#This Row],[Spender]]="YEONG",OFFSET(Table2[[#This Row],[My Actual Balance]],-1,0)-Table2[[#This Row],[Amount]],OFFSET(Table2[[#This Row],[My Actual Balance]],-1,0))</f>
        <v>8612.74</v>
      </c>
      <c r="F82" s="10">
        <f ca="1">IF(Table2[[#This Row],[Spender]]="MV",OFFSET(Table2[[#This Row],[MV Balance]],-1,0)-Table2[[#This Row],[Amount]],OFFSET(Table2[[#This Row],[MV Balance]],-1,0))</f>
        <v>3323.5000000000018</v>
      </c>
      <c r="G82" s="10">
        <f t="shared" ca="1" si="2"/>
        <v>11936.240000000002</v>
      </c>
    </row>
    <row r="83" spans="1:7" x14ac:dyDescent="0.45">
      <c r="A83" s="8">
        <v>45805</v>
      </c>
      <c r="B83" s="16">
        <v>928</v>
      </c>
      <c r="C83" s="9" t="s">
        <v>11</v>
      </c>
      <c r="D83" s="14" t="s">
        <v>253</v>
      </c>
      <c r="E83" s="10">
        <f ca="1">IF(Table2[[#This Row],[Spender]]="YEONG",OFFSET(Table2[[#This Row],[My Actual Balance]],-1,0)-Table2[[#This Row],[Amount]],OFFSET(Table2[[#This Row],[My Actual Balance]],-1,0))</f>
        <v>8612.74</v>
      </c>
      <c r="F83" s="10">
        <f ca="1">IF(Table2[[#This Row],[Spender]]="MV",OFFSET(Table2[[#This Row],[MV Balance]],-1,0)-Table2[[#This Row],[Amount]],OFFSET(Table2[[#This Row],[MV Balance]],-1,0))</f>
        <v>2395.5000000000018</v>
      </c>
      <c r="G83" s="10">
        <f t="shared" ca="1" si="2"/>
        <v>11008.240000000002</v>
      </c>
    </row>
    <row r="84" spans="1:7" x14ac:dyDescent="0.45">
      <c r="A84" s="8">
        <v>45805</v>
      </c>
      <c r="B84" s="16">
        <v>672</v>
      </c>
      <c r="C84" s="9" t="s">
        <v>11</v>
      </c>
      <c r="D84" s="14" t="s">
        <v>254</v>
      </c>
      <c r="E84" s="10">
        <f ca="1">IF(Table2[[#This Row],[Spender]]="YEONG",OFFSET(Table2[[#This Row],[My Actual Balance]],-1,0)-Table2[[#This Row],[Amount]],OFFSET(Table2[[#This Row],[My Actual Balance]],-1,0))</f>
        <v>8612.74</v>
      </c>
      <c r="F84" s="10">
        <f ca="1">IF(Table2[[#This Row],[Spender]]="MV",OFFSET(Table2[[#This Row],[MV Balance]],-1,0)-Table2[[#This Row],[Amount]],OFFSET(Table2[[#This Row],[MV Balance]],-1,0))</f>
        <v>1723.5000000000018</v>
      </c>
      <c r="G84" s="10">
        <f t="shared" ca="1" si="2"/>
        <v>10336.240000000002</v>
      </c>
    </row>
    <row r="85" spans="1:7" x14ac:dyDescent="0.45">
      <c r="A85" s="8">
        <v>45805</v>
      </c>
      <c r="B85" s="16">
        <v>825</v>
      </c>
      <c r="C85" s="9" t="s">
        <v>11</v>
      </c>
      <c r="D85" s="14" t="s">
        <v>255</v>
      </c>
      <c r="E85" s="10">
        <f ca="1">IF(Table2[[#This Row],[Spender]]="YEONG",OFFSET(Table2[[#This Row],[My Actual Balance]],-1,0)-Table2[[#This Row],[Amount]],OFFSET(Table2[[#This Row],[My Actual Balance]],-1,0))</f>
        <v>8612.74</v>
      </c>
      <c r="F85" s="10">
        <f ca="1">IF(Table2[[#This Row],[Spender]]="MV",OFFSET(Table2[[#This Row],[MV Balance]],-1,0)-Table2[[#This Row],[Amount]],OFFSET(Table2[[#This Row],[MV Balance]],-1,0))</f>
        <v>898.50000000000182</v>
      </c>
      <c r="G85" s="10">
        <f t="shared" ca="1" si="2"/>
        <v>9511.2400000000016</v>
      </c>
    </row>
    <row r="86" spans="1:7" x14ac:dyDescent="0.45">
      <c r="A86" s="8">
        <v>45806</v>
      </c>
      <c r="B86" s="16">
        <v>20.75</v>
      </c>
      <c r="C86" s="11" t="s">
        <v>30</v>
      </c>
      <c r="D86" s="14" t="s">
        <v>68</v>
      </c>
      <c r="E86" s="10">
        <f ca="1">IF(Table2[[#This Row],[Spender]]="YEONG",OFFSET(Table2[[#This Row],[My Actual Balance]],-1,0)-Table2[[#This Row],[Amount]],OFFSET(Table2[[#This Row],[My Actual Balance]],-1,0))</f>
        <v>8591.99</v>
      </c>
      <c r="F86" s="10">
        <f ca="1">IF(Table2[[#This Row],[Spender]]="MV",OFFSET(Table2[[#This Row],[MV Balance]],-1,0)-Table2[[#This Row],[Amount]],OFFSET(Table2[[#This Row],[MV Balance]],-1,0))</f>
        <v>898.50000000000182</v>
      </c>
      <c r="G86" s="10">
        <f t="shared" ca="1" si="2"/>
        <v>9490.4900000000016</v>
      </c>
    </row>
    <row r="87" spans="1:7" x14ac:dyDescent="0.45">
      <c r="A87" s="8">
        <v>45807</v>
      </c>
      <c r="B87" s="16">
        <v>898.5</v>
      </c>
      <c r="C87" s="9" t="s">
        <v>11</v>
      </c>
      <c r="D87" s="14" t="s">
        <v>256</v>
      </c>
      <c r="E87" s="10">
        <f ca="1">IF(Table2[[#This Row],[Spender]]="YEONG",OFFSET(Table2[[#This Row],[My Actual Balance]],-1,0)-Table2[[#This Row],[Amount]],OFFSET(Table2[[#This Row],[My Actual Balance]],-1,0))</f>
        <v>8591.99</v>
      </c>
      <c r="F87" s="10">
        <f ca="1">IF(Table2[[#This Row],[Spender]]="MV",OFFSET(Table2[[#This Row],[MV Balance]],-1,0)-Table2[[#This Row],[Amount]],OFFSET(Table2[[#This Row],[MV Balance]],-1,0))</f>
        <v>1.8189894035458565E-12</v>
      </c>
      <c r="G87" s="10">
        <f t="shared" ca="1" si="2"/>
        <v>8591.9900000000016</v>
      </c>
    </row>
    <row r="88" spans="1:7" x14ac:dyDescent="0.45">
      <c r="A88" s="8">
        <v>45753</v>
      </c>
      <c r="B88" s="16">
        <v>842.5</v>
      </c>
      <c r="C88" s="9" t="s">
        <v>11</v>
      </c>
      <c r="D88" s="13"/>
      <c r="E88" s="10">
        <f ca="1">IF(Table2[[#This Row],[Spender]]="YEONG",OFFSET(Table2[[#This Row],[My Actual Balance]],-1,0)-Table2[[#This Row],[Amount]],OFFSET(Table2[[#This Row],[My Actual Balance]],-1,0))</f>
        <v>8591.99</v>
      </c>
      <c r="F88" s="10">
        <f ca="1">IF(Table2[[#This Row],[Spender]]="MV",OFFSET(Table2[[#This Row],[MV Balance]],-1,0)-Table2[[#This Row],[Amount]],OFFSET(Table2[[#This Row],[MV Balance]],-1,0))</f>
        <v>-842.49999999999818</v>
      </c>
      <c r="G88" s="10">
        <f t="shared" ca="1" si="2"/>
        <v>7749.4900000000016</v>
      </c>
    </row>
    <row r="89" spans="1:7" x14ac:dyDescent="0.45">
      <c r="A89" s="8">
        <v>45753</v>
      </c>
      <c r="B89" s="16">
        <v>-10000</v>
      </c>
      <c r="C89" s="9" t="s">
        <v>11</v>
      </c>
      <c r="D89" s="13"/>
      <c r="E89" s="10">
        <f ca="1">IF(Table2[[#This Row],[Spender]]="YEONG",OFFSET(Table2[[#This Row],[My Actual Balance]],-1,0)-Table2[[#This Row],[Amount]],OFFSET(Table2[[#This Row],[My Actual Balance]],-1,0))</f>
        <v>8591.99</v>
      </c>
      <c r="F89" s="10">
        <f ca="1">IF(Table2[[#This Row],[Spender]]="MV",OFFSET(Table2[[#This Row],[MV Balance]],-1,0)-Table2[[#This Row],[Amount]],OFFSET(Table2[[#This Row],[MV Balance]],-1,0))</f>
        <v>9157.5000000000018</v>
      </c>
      <c r="G89" s="10">
        <f t="shared" ca="1" si="2"/>
        <v>17749.490000000002</v>
      </c>
    </row>
    <row r="90" spans="1:7" x14ac:dyDescent="0.45">
      <c r="A90" s="8">
        <v>45783</v>
      </c>
      <c r="B90" s="16">
        <v>2900</v>
      </c>
      <c r="C90" s="9" t="s">
        <v>11</v>
      </c>
      <c r="D90" s="14" t="s">
        <v>257</v>
      </c>
      <c r="E90" s="10">
        <f ca="1">IF(Table2[[#This Row],[Spender]]="YEONG",OFFSET(Table2[[#This Row],[My Actual Balance]],-1,0)-Table2[[#This Row],[Amount]],OFFSET(Table2[[#This Row],[My Actual Balance]],-1,0))</f>
        <v>8591.99</v>
      </c>
      <c r="F90" s="10">
        <f ca="1">IF(Table2[[#This Row],[Spender]]="MV",OFFSET(Table2[[#This Row],[MV Balance]],-1,0)-Table2[[#This Row],[Amount]],OFFSET(Table2[[#This Row],[MV Balance]],-1,0))</f>
        <v>6257.5000000000018</v>
      </c>
      <c r="G90" s="10">
        <f t="shared" ca="1" si="2"/>
        <v>14849.490000000002</v>
      </c>
    </row>
    <row r="91" spans="1:7" x14ac:dyDescent="0.45">
      <c r="A91" s="8">
        <v>45783</v>
      </c>
      <c r="B91" s="16">
        <v>25.84</v>
      </c>
      <c r="C91" s="11" t="s">
        <v>30</v>
      </c>
      <c r="D91" s="13"/>
      <c r="E91" s="10">
        <f ca="1">IF(Table2[[#This Row],[Spender]]="YEONG",OFFSET(Table2[[#This Row],[My Actual Balance]],-1,0)-Table2[[#This Row],[Amount]],OFFSET(Table2[[#This Row],[My Actual Balance]],-1,0))</f>
        <v>8566.15</v>
      </c>
      <c r="F91" s="10">
        <f ca="1">IF(Table2[[#This Row],[Spender]]="MV",OFFSET(Table2[[#This Row],[MV Balance]],-1,0)-Table2[[#This Row],[Amount]],OFFSET(Table2[[#This Row],[MV Balance]],-1,0))</f>
        <v>6257.5000000000018</v>
      </c>
      <c r="G91" s="10">
        <f t="shared" ca="1" si="2"/>
        <v>14823.650000000001</v>
      </c>
    </row>
    <row r="92" spans="1:7" x14ac:dyDescent="0.45">
      <c r="A92" s="8">
        <v>45818</v>
      </c>
      <c r="B92" s="16">
        <v>5537</v>
      </c>
      <c r="C92" s="11" t="s">
        <v>11</v>
      </c>
      <c r="D92" s="13"/>
      <c r="E92" s="10">
        <f ca="1">IF(Table2[[#This Row],[Spender]]="YEONG",OFFSET(Table2[[#This Row],[My Actual Balance]],-1,0)-Table2[[#This Row],[Amount]],OFFSET(Table2[[#This Row],[My Actual Balance]],-1,0))</f>
        <v>8566.15</v>
      </c>
      <c r="F92" s="10">
        <f ca="1">IF(Table2[[#This Row],[Spender]]="MV",OFFSET(Table2[[#This Row],[MV Balance]],-1,0)-Table2[[#This Row],[Amount]],OFFSET(Table2[[#This Row],[MV Balance]],-1,0))</f>
        <v>720.50000000000182</v>
      </c>
      <c r="G92" s="10">
        <f t="shared" ref="G92:G105" ca="1" si="3">SUM(E92:F92)</f>
        <v>9286.6500000000015</v>
      </c>
    </row>
    <row r="93" spans="1:7" x14ac:dyDescent="0.45">
      <c r="A93" s="8">
        <v>45819</v>
      </c>
      <c r="B93" s="17">
        <v>720.5</v>
      </c>
      <c r="C93" s="11" t="s">
        <v>11</v>
      </c>
      <c r="D93" s="13" t="s">
        <v>13</v>
      </c>
      <c r="E93" s="10">
        <f ca="1">IF(Table2[[#This Row],[Spender]]="YEONG",OFFSET(Table2[[#This Row],[My Actual Balance]],-1,0)-Table2[[#This Row],[Amount]],OFFSET(Table2[[#This Row],[My Actual Balance]],-1,0))</f>
        <v>8566.15</v>
      </c>
      <c r="F93" s="10">
        <f ca="1">IF(Table2[[#This Row],[Spender]]="MV",OFFSET(Table2[[#This Row],[MV Balance]],-1,0)-Table2[[#This Row],[Amount]],OFFSET(Table2[[#This Row],[MV Balance]],-1,0))</f>
        <v>1.8189894035458565E-12</v>
      </c>
      <c r="G93" s="10">
        <f t="shared" ca="1" si="3"/>
        <v>8566.1500000000015</v>
      </c>
    </row>
    <row r="94" spans="1:7" x14ac:dyDescent="0.45">
      <c r="A94" s="8">
        <v>45825</v>
      </c>
      <c r="B94" s="17">
        <v>-10000</v>
      </c>
      <c r="C94" s="11" t="s">
        <v>11</v>
      </c>
      <c r="D94" s="13" t="s">
        <v>15</v>
      </c>
      <c r="E94" s="10">
        <f ca="1">IF(Table2[[#This Row],[Spender]]="YEONG",OFFSET(Table2[[#This Row],[My Actual Balance]],-1,0)-Table2[[#This Row],[Amount]],OFFSET(Table2[[#This Row],[My Actual Balance]],-1,0))</f>
        <v>8566.15</v>
      </c>
      <c r="F94" s="10">
        <f ca="1">IF(Table2[[#This Row],[Spender]]="MV",OFFSET(Table2[[#This Row],[MV Balance]],-1,0)-Table2[[#This Row],[Amount]],OFFSET(Table2[[#This Row],[MV Balance]],-1,0))</f>
        <v>10000.000000000002</v>
      </c>
      <c r="G94" s="10">
        <f t="shared" ca="1" si="3"/>
        <v>18566.150000000001</v>
      </c>
    </row>
    <row r="95" spans="1:7" x14ac:dyDescent="0.45">
      <c r="A95" s="8">
        <v>45825</v>
      </c>
      <c r="B95" s="17">
        <v>2621.55</v>
      </c>
      <c r="C95" s="11" t="s">
        <v>11</v>
      </c>
      <c r="D95" s="13" t="s">
        <v>17</v>
      </c>
      <c r="E95" s="10">
        <f ca="1">IF(Table2[[#This Row],[Spender]]="YEONG",OFFSET(Table2[[#This Row],[My Actual Balance]],-1,0)-Table2[[#This Row],[Amount]],OFFSET(Table2[[#This Row],[My Actual Balance]],-1,0))</f>
        <v>8566.15</v>
      </c>
      <c r="F95" s="10">
        <f ca="1">IF(Table2[[#This Row],[Spender]]="MV",OFFSET(Table2[[#This Row],[MV Balance]],-1,0)-Table2[[#This Row],[Amount]],OFFSET(Table2[[#This Row],[MV Balance]],-1,0))</f>
        <v>7378.4500000000016</v>
      </c>
      <c r="G95" s="10">
        <f t="shared" ca="1" si="3"/>
        <v>15944.600000000002</v>
      </c>
    </row>
    <row r="96" spans="1:7" x14ac:dyDescent="0.45">
      <c r="A96" s="8">
        <v>45828</v>
      </c>
      <c r="B96" s="17">
        <v>537</v>
      </c>
      <c r="C96" s="11" t="s">
        <v>11</v>
      </c>
      <c r="D96" s="13" t="s">
        <v>19</v>
      </c>
      <c r="E96" s="10">
        <f ca="1">IF(Table2[[#This Row],[Spender]]="YEONG",OFFSET(Table2[[#This Row],[My Actual Balance]],-1,0)-Table2[[#This Row],[Amount]],OFFSET(Table2[[#This Row],[My Actual Balance]],-1,0))</f>
        <v>8566.15</v>
      </c>
      <c r="F96" s="10">
        <f ca="1">IF(Table2[[#This Row],[Spender]]="MV",OFFSET(Table2[[#This Row],[MV Balance]],-1,0)-Table2[[#This Row],[Amount]],OFFSET(Table2[[#This Row],[MV Balance]],-1,0))</f>
        <v>6841.4500000000016</v>
      </c>
      <c r="G96" s="10">
        <f t="shared" ca="1" si="3"/>
        <v>15407.600000000002</v>
      </c>
    </row>
    <row r="97" spans="1:7" x14ac:dyDescent="0.45">
      <c r="A97" s="8">
        <v>45828</v>
      </c>
      <c r="B97" s="17">
        <v>490</v>
      </c>
      <c r="C97" s="11" t="s">
        <v>11</v>
      </c>
      <c r="D97" s="13" t="s">
        <v>21</v>
      </c>
      <c r="E97" s="10">
        <f ca="1">IF(Table2[[#This Row],[Spender]]="YEONG",OFFSET(Table2[[#This Row],[My Actual Balance]],-1,0)-Table2[[#This Row],[Amount]],OFFSET(Table2[[#This Row],[My Actual Balance]],-1,0))</f>
        <v>8566.15</v>
      </c>
      <c r="F97" s="10">
        <f ca="1">IF(Table2[[#This Row],[Spender]]="MV",OFFSET(Table2[[#This Row],[MV Balance]],-1,0)-Table2[[#This Row],[Amount]],OFFSET(Table2[[#This Row],[MV Balance]],-1,0))</f>
        <v>6351.4500000000016</v>
      </c>
      <c r="G97" s="10">
        <f t="shared" ca="1" si="3"/>
        <v>14917.600000000002</v>
      </c>
    </row>
    <row r="98" spans="1:7" x14ac:dyDescent="0.45">
      <c r="A98" s="8">
        <v>45828</v>
      </c>
      <c r="B98" s="17">
        <v>860</v>
      </c>
      <c r="C98" s="11" t="s">
        <v>11</v>
      </c>
      <c r="D98" s="13" t="s">
        <v>23</v>
      </c>
      <c r="E98" s="10">
        <f ca="1">IF(Table2[[#This Row],[Spender]]="YEONG",OFFSET(Table2[[#This Row],[My Actual Balance]],-1,0)-Table2[[#This Row],[Amount]],OFFSET(Table2[[#This Row],[My Actual Balance]],-1,0))</f>
        <v>8566.15</v>
      </c>
      <c r="F98" s="10">
        <f ca="1">IF(Table2[[#This Row],[Spender]]="MV",OFFSET(Table2[[#This Row],[MV Balance]],-1,0)-Table2[[#This Row],[Amount]],OFFSET(Table2[[#This Row],[MV Balance]],-1,0))</f>
        <v>5491.4500000000016</v>
      </c>
      <c r="G98" s="10">
        <f t="shared" ca="1" si="3"/>
        <v>14057.600000000002</v>
      </c>
    </row>
    <row r="99" spans="1:7" x14ac:dyDescent="0.45">
      <c r="A99" s="8">
        <v>45828</v>
      </c>
      <c r="B99" s="17">
        <v>570</v>
      </c>
      <c r="C99" s="11" t="s">
        <v>11</v>
      </c>
      <c r="D99" s="13" t="s">
        <v>25</v>
      </c>
      <c r="E99" s="10">
        <f ca="1">IF(Table2[[#This Row],[Spender]]="YEONG",OFFSET(Table2[[#This Row],[My Actual Balance]],-1,0)-Table2[[#This Row],[Amount]],OFFSET(Table2[[#This Row],[My Actual Balance]],-1,0))</f>
        <v>8566.15</v>
      </c>
      <c r="F99" s="10">
        <f ca="1">IF(Table2[[#This Row],[Spender]]="MV",OFFSET(Table2[[#This Row],[MV Balance]],-1,0)-Table2[[#This Row],[Amount]],OFFSET(Table2[[#This Row],[MV Balance]],-1,0))</f>
        <v>4921.4500000000016</v>
      </c>
      <c r="G99" s="10">
        <f t="shared" ca="1" si="3"/>
        <v>13487.600000000002</v>
      </c>
    </row>
    <row r="100" spans="1:7" x14ac:dyDescent="0.45">
      <c r="A100" s="8">
        <v>45828</v>
      </c>
      <c r="B100" s="17">
        <v>560</v>
      </c>
      <c r="C100" s="11" t="s">
        <v>11</v>
      </c>
      <c r="D100" s="13" t="s">
        <v>27</v>
      </c>
      <c r="E100" s="10">
        <f ca="1">IF(Table2[[#This Row],[Spender]]="YEONG",OFFSET(Table2[[#This Row],[My Actual Balance]],-1,0)-Table2[[#This Row],[Amount]],OFFSET(Table2[[#This Row],[My Actual Balance]],-1,0))</f>
        <v>8566.15</v>
      </c>
      <c r="F100" s="10">
        <f ca="1">IF(Table2[[#This Row],[Spender]]="MV",OFFSET(Table2[[#This Row],[MV Balance]],-1,0)-Table2[[#This Row],[Amount]],OFFSET(Table2[[#This Row],[MV Balance]],-1,0))</f>
        <v>4361.4500000000016</v>
      </c>
      <c r="G100" s="10">
        <f t="shared" ca="1" si="3"/>
        <v>12927.600000000002</v>
      </c>
    </row>
    <row r="101" spans="1:7" x14ac:dyDescent="0.45">
      <c r="A101" s="8">
        <v>45834</v>
      </c>
      <c r="B101" s="17">
        <v>4045</v>
      </c>
      <c r="C101" s="11" t="s">
        <v>11</v>
      </c>
      <c r="D101" s="13"/>
      <c r="E101" s="10">
        <f ca="1">IF(Table2[[#This Row],[Spender]]="YEONG",OFFSET(Table2[[#This Row],[My Actual Balance]],-1,0)-Table2[[#This Row],[Amount]],OFFSET(Table2[[#This Row],[My Actual Balance]],-1,0))</f>
        <v>8566.15</v>
      </c>
      <c r="F101" s="10">
        <f ca="1">IF(Table2[[#This Row],[Spender]]="MV",OFFSET(Table2[[#This Row],[MV Balance]],-1,0)-Table2[[#This Row],[Amount]],OFFSET(Table2[[#This Row],[MV Balance]],-1,0))</f>
        <v>316.45000000000164</v>
      </c>
      <c r="G101" s="10">
        <f t="shared" ca="1" si="3"/>
        <v>8882.6000000000022</v>
      </c>
    </row>
    <row r="102" spans="1:7" x14ac:dyDescent="0.45">
      <c r="A102" s="8">
        <v>45834</v>
      </c>
      <c r="B102" s="17">
        <v>500</v>
      </c>
      <c r="C102" s="11" t="s">
        <v>30</v>
      </c>
      <c r="D102" s="13" t="s">
        <v>31</v>
      </c>
      <c r="E102" s="10">
        <f ca="1">IF(Table2[[#This Row],[Spender]]="YEONG",OFFSET(Table2[[#This Row],[My Actual Balance]],-1,0)-Table2[[#This Row],[Amount]],OFFSET(Table2[[#This Row],[My Actual Balance]],-1,0))</f>
        <v>8066.15</v>
      </c>
      <c r="F102" s="10">
        <f ca="1">IF(Table2[[#This Row],[Spender]]="MV",OFFSET(Table2[[#This Row],[MV Balance]],-1,0)-Table2[[#This Row],[Amount]],OFFSET(Table2[[#This Row],[MV Balance]],-1,0))</f>
        <v>316.45000000000164</v>
      </c>
      <c r="G102" s="10">
        <f t="shared" ca="1" si="3"/>
        <v>8382.6000000000022</v>
      </c>
    </row>
    <row r="103" spans="1:7" x14ac:dyDescent="0.45">
      <c r="A103" s="8">
        <v>45834</v>
      </c>
      <c r="B103" s="17">
        <v>-1.39</v>
      </c>
      <c r="C103" s="11" t="s">
        <v>30</v>
      </c>
      <c r="D103" s="13" t="s">
        <v>33</v>
      </c>
      <c r="E103" s="10">
        <f ca="1">IF(Table2[[#This Row],[Spender]]="YEONG",OFFSET(Table2[[#This Row],[My Actual Balance]],-1,0)-Table2[[#This Row],[Amount]],OFFSET(Table2[[#This Row],[My Actual Balance]],-1,0))</f>
        <v>8067.54</v>
      </c>
      <c r="F103" s="10">
        <f ca="1">IF(Table2[[#This Row],[Spender]]="MV",OFFSET(Table2[[#This Row],[MV Balance]],-1,0)-Table2[[#This Row],[Amount]],OFFSET(Table2[[#This Row],[MV Balance]],-1,0))</f>
        <v>316.45000000000164</v>
      </c>
      <c r="G103" s="10">
        <f t="shared" ca="1" si="3"/>
        <v>8383.9900000000016</v>
      </c>
    </row>
    <row r="104" spans="1:7" x14ac:dyDescent="0.45">
      <c r="A104" s="8">
        <v>45837</v>
      </c>
      <c r="B104" s="17">
        <v>500</v>
      </c>
      <c r="C104" s="11" t="s">
        <v>30</v>
      </c>
      <c r="D104" s="13" t="s">
        <v>15</v>
      </c>
      <c r="E104" s="10">
        <f ca="1">IF(Table2[[#This Row],[Spender]]="YEONG",OFFSET(Table2[[#This Row],[My Actual Balance]],-1,0)-Table2[[#This Row],[Amount]],OFFSET(Table2[[#This Row],[My Actual Balance]],-1,0))</f>
        <v>7567.54</v>
      </c>
      <c r="F104" s="10">
        <f ca="1">IF(Table2[[#This Row],[Spender]]="MV",OFFSET(Table2[[#This Row],[MV Balance]],-1,0)-Table2[[#This Row],[Amount]],OFFSET(Table2[[#This Row],[MV Balance]],-1,0))</f>
        <v>316.45000000000164</v>
      </c>
      <c r="G104" s="10">
        <f t="shared" ca="1" si="3"/>
        <v>7883.9900000000016</v>
      </c>
    </row>
    <row r="105" spans="1:7" x14ac:dyDescent="0.45">
      <c r="A105" s="8">
        <v>45837</v>
      </c>
      <c r="B105" s="17">
        <v>300</v>
      </c>
      <c r="C105" s="11" t="s">
        <v>30</v>
      </c>
      <c r="D105" s="13" t="s">
        <v>35</v>
      </c>
      <c r="E105" s="10">
        <f ca="1">IF(Table2[[#This Row],[Spender]]="YEONG",OFFSET(Table2[[#This Row],[My Actual Balance]],-1,0)-Table2[[#This Row],[Amount]],OFFSET(Table2[[#This Row],[My Actual Balance]],-1,0))</f>
        <v>7267.54</v>
      </c>
      <c r="F105" s="10">
        <f ca="1">IF(Table2[[#This Row],[Spender]]="MV",OFFSET(Table2[[#This Row],[MV Balance]],-1,0)-Table2[[#This Row],[Amount]],OFFSET(Table2[[#This Row],[MV Balance]],-1,0))</f>
        <v>316.45000000000164</v>
      </c>
      <c r="G105" s="10">
        <f t="shared" ca="1" si="3"/>
        <v>7583.9900000000016</v>
      </c>
    </row>
    <row r="106" spans="1:7" x14ac:dyDescent="0.45">
      <c r="A106" s="8">
        <v>45839</v>
      </c>
      <c r="B106" s="17">
        <v>-10000</v>
      </c>
      <c r="C106" s="11" t="s">
        <v>11</v>
      </c>
      <c r="D106" s="13"/>
      <c r="E106" s="10">
        <f ca="1">IF(Table2[[#This Row],[Spender]]="YEONG",OFFSET(Table2[[#This Row],[My Actual Balance]],-1,0)-Table2[[#This Row],[Amount]],OFFSET(Table2[[#This Row],[My Actual Balance]],-1,0))</f>
        <v>7267.54</v>
      </c>
      <c r="F106" s="10">
        <f ca="1">IF(Table2[[#This Row],[Spender]]="MV",OFFSET(Table2[[#This Row],[MV Balance]],-1,0)-Table2[[#This Row],[Amount]],OFFSET(Table2[[#This Row],[MV Balance]],-1,0))</f>
        <v>10316.450000000001</v>
      </c>
      <c r="G106" s="10">
        <f t="shared" ref="G106:G115" ca="1" si="4">SUM(E106:F106)</f>
        <v>17583.990000000002</v>
      </c>
    </row>
    <row r="107" spans="1:7" x14ac:dyDescent="0.45">
      <c r="A107" s="8">
        <v>45841</v>
      </c>
      <c r="B107" s="17">
        <v>900</v>
      </c>
      <c r="C107" s="11" t="s">
        <v>11</v>
      </c>
      <c r="D107" s="13" t="s">
        <v>37</v>
      </c>
      <c r="E107" s="10">
        <f ca="1">IF(Table2[[#This Row],[Spender]]="YEONG",OFFSET(Table2[[#This Row],[My Actual Balance]],-1,0)-Table2[[#This Row],[Amount]],OFFSET(Table2[[#This Row],[My Actual Balance]],-1,0))</f>
        <v>7267.54</v>
      </c>
      <c r="F107" s="10">
        <f ca="1">IF(Table2[[#This Row],[Spender]]="MV",OFFSET(Table2[[#This Row],[MV Balance]],-1,0)-Table2[[#This Row],[Amount]],OFFSET(Table2[[#This Row],[MV Balance]],-1,0))</f>
        <v>9416.4500000000007</v>
      </c>
      <c r="G107" s="10">
        <f t="shared" ca="1" si="4"/>
        <v>16683.990000000002</v>
      </c>
    </row>
    <row r="108" spans="1:7" x14ac:dyDescent="0.45">
      <c r="A108" s="8">
        <v>45841</v>
      </c>
      <c r="B108" s="17">
        <v>974</v>
      </c>
      <c r="C108" s="11" t="s">
        <v>11</v>
      </c>
      <c r="D108" s="13" t="s">
        <v>39</v>
      </c>
      <c r="E108" s="10">
        <f ca="1">IF(Table2[[#This Row],[Spender]]="YEONG",OFFSET(Table2[[#This Row],[My Actual Balance]],-1,0)-Table2[[#This Row],[Amount]],OFFSET(Table2[[#This Row],[My Actual Balance]],-1,0))</f>
        <v>7267.54</v>
      </c>
      <c r="F108" s="10">
        <f ca="1">IF(Table2[[#This Row],[Spender]]="MV",OFFSET(Table2[[#This Row],[MV Balance]],-1,0)-Table2[[#This Row],[Amount]],OFFSET(Table2[[#This Row],[MV Balance]],-1,0))</f>
        <v>8442.4500000000007</v>
      </c>
      <c r="G108" s="10">
        <f t="shared" ca="1" si="4"/>
        <v>15709.990000000002</v>
      </c>
    </row>
    <row r="109" spans="1:7" x14ac:dyDescent="0.45">
      <c r="A109" s="8">
        <v>45842</v>
      </c>
      <c r="B109" s="17">
        <v>300</v>
      </c>
      <c r="C109" s="11" t="s">
        <v>30</v>
      </c>
      <c r="D109" s="13" t="s">
        <v>15</v>
      </c>
      <c r="E109" s="10">
        <f ca="1">IF(Table2[[#This Row],[Spender]]="YEONG",OFFSET(Table2[[#This Row],[My Actual Balance]],-1,0)-Table2[[#This Row],[Amount]],OFFSET(Table2[[#This Row],[My Actual Balance]],-1,0))</f>
        <v>6967.54</v>
      </c>
      <c r="F109" s="10">
        <f ca="1">IF(Table2[[#This Row],[Spender]]="MV",OFFSET(Table2[[#This Row],[MV Balance]],-1,0)-Table2[[#This Row],[Amount]],OFFSET(Table2[[#This Row],[MV Balance]],-1,0))</f>
        <v>8442.4500000000007</v>
      </c>
      <c r="G109" s="10">
        <f t="shared" ca="1" si="4"/>
        <v>15409.990000000002</v>
      </c>
    </row>
    <row r="110" spans="1:7" x14ac:dyDescent="0.45">
      <c r="A110" s="8">
        <v>45842</v>
      </c>
      <c r="B110" s="17">
        <v>2</v>
      </c>
      <c r="C110" s="11" t="s">
        <v>30</v>
      </c>
      <c r="D110" s="13" t="s">
        <v>41</v>
      </c>
      <c r="E110" s="10">
        <f ca="1">IF(Table2[[#This Row],[Spender]]="YEONG",OFFSET(Table2[[#This Row],[My Actual Balance]],-1,0)-Table2[[#This Row],[Amount]],OFFSET(Table2[[#This Row],[My Actual Balance]],-1,0))</f>
        <v>6965.54</v>
      </c>
      <c r="F110" s="10">
        <f ca="1">IF(Table2[[#This Row],[Spender]]="MV",OFFSET(Table2[[#This Row],[MV Balance]],-1,0)-Table2[[#This Row],[Amount]],OFFSET(Table2[[#This Row],[MV Balance]],-1,0))</f>
        <v>8442.4500000000007</v>
      </c>
      <c r="G110" s="10">
        <f t="shared" ca="1" si="4"/>
        <v>15407.990000000002</v>
      </c>
    </row>
    <row r="111" spans="1:7" x14ac:dyDescent="0.45">
      <c r="A111" s="8">
        <v>45843</v>
      </c>
      <c r="B111" s="17">
        <v>300</v>
      </c>
      <c r="C111" s="11" t="s">
        <v>30</v>
      </c>
      <c r="D111" s="13" t="s">
        <v>15</v>
      </c>
      <c r="E111" s="10">
        <f ca="1">IF(Table2[[#This Row],[Spender]]="YEONG",OFFSET(Table2[[#This Row],[My Actual Balance]],-1,0)-Table2[[#This Row],[Amount]],OFFSET(Table2[[#This Row],[My Actual Balance]],-1,0))</f>
        <v>6665.54</v>
      </c>
      <c r="F111" s="10">
        <f ca="1">IF(Table2[[#This Row],[Spender]]="MV",OFFSET(Table2[[#This Row],[MV Balance]],-1,0)-Table2[[#This Row],[Amount]],OFFSET(Table2[[#This Row],[MV Balance]],-1,0))</f>
        <v>8442.4500000000007</v>
      </c>
      <c r="G111" s="10">
        <f t="shared" ca="1" si="4"/>
        <v>15107.990000000002</v>
      </c>
    </row>
    <row r="112" spans="1:7" x14ac:dyDescent="0.45">
      <c r="A112" s="8">
        <v>45846</v>
      </c>
      <c r="B112" s="17">
        <v>-79.48</v>
      </c>
      <c r="C112" s="11" t="s">
        <v>30</v>
      </c>
      <c r="D112" s="13" t="s">
        <v>43</v>
      </c>
      <c r="E112" s="10">
        <f ca="1">IF(Table2[[#This Row],[Spender]]="YEONG",OFFSET(Table2[[#This Row],[My Actual Balance]],-1,0)-Table2[[#This Row],[Amount]],OFFSET(Table2[[#This Row],[My Actual Balance]],-1,0))</f>
        <v>6745.0199999999995</v>
      </c>
      <c r="F112" s="10">
        <f ca="1">IF(Table2[[#This Row],[Spender]]="MV",OFFSET(Table2[[#This Row],[MV Balance]],-1,0)-Table2[[#This Row],[Amount]],OFFSET(Table2[[#This Row],[MV Balance]],-1,0))</f>
        <v>8442.4500000000007</v>
      </c>
      <c r="G112" s="10">
        <f t="shared" ca="1" si="4"/>
        <v>15187.470000000001</v>
      </c>
    </row>
    <row r="113" spans="1:7" x14ac:dyDescent="0.45">
      <c r="A113" s="8">
        <v>45846</v>
      </c>
      <c r="B113" s="17">
        <v>1740</v>
      </c>
      <c r="C113" s="11" t="s">
        <v>11</v>
      </c>
      <c r="D113" s="13" t="s">
        <v>45</v>
      </c>
      <c r="E113" s="10">
        <f ca="1">IF(Table2[[#This Row],[Spender]]="YEONG",OFFSET(Table2[[#This Row],[My Actual Balance]],-1,0)-Table2[[#This Row],[Amount]],OFFSET(Table2[[#This Row],[My Actual Balance]],-1,0))</f>
        <v>6745.0199999999995</v>
      </c>
      <c r="F113" s="10">
        <f ca="1">IF(Table2[[#This Row],[Spender]]="MV",OFFSET(Table2[[#This Row],[MV Balance]],-1,0)-Table2[[#This Row],[Amount]],OFFSET(Table2[[#This Row],[MV Balance]],-1,0))</f>
        <v>6702.4500000000007</v>
      </c>
      <c r="G113" s="10">
        <f t="shared" ca="1" si="4"/>
        <v>13447.470000000001</v>
      </c>
    </row>
    <row r="114" spans="1:7" x14ac:dyDescent="0.45">
      <c r="A114" s="8">
        <v>45848</v>
      </c>
      <c r="B114" s="17">
        <v>11.26</v>
      </c>
      <c r="C114" s="11" t="s">
        <v>30</v>
      </c>
      <c r="D114" s="13" t="s">
        <v>47</v>
      </c>
      <c r="E114" s="10">
        <f ca="1">IF(Table2[[#This Row],[Spender]]="YEONG",OFFSET(Table2[[#This Row],[My Actual Balance]],-1,0)-Table2[[#This Row],[Amount]],OFFSET(Table2[[#This Row],[My Actual Balance]],-1,0))</f>
        <v>6733.7599999999993</v>
      </c>
      <c r="F114" s="10">
        <f ca="1">IF(Table2[[#This Row],[Spender]]="MV",OFFSET(Table2[[#This Row],[MV Balance]],-1,0)-Table2[[#This Row],[Amount]],OFFSET(Table2[[#This Row],[MV Balance]],-1,0))</f>
        <v>6702.4500000000007</v>
      </c>
      <c r="G114" s="10">
        <f t="shared" ca="1" si="4"/>
        <v>13436.21</v>
      </c>
    </row>
    <row r="115" spans="1:7" x14ac:dyDescent="0.45">
      <c r="A115" s="8">
        <v>45849</v>
      </c>
      <c r="B115" s="17">
        <v>2550</v>
      </c>
      <c r="C115" s="11" t="s">
        <v>11</v>
      </c>
      <c r="D115" s="13" t="s">
        <v>49</v>
      </c>
      <c r="E115" s="10">
        <f ca="1">IF(Table2[[#This Row],[Spender]]="YEONG",OFFSET(Table2[[#This Row],[My Actual Balance]],-1,0)-Table2[[#This Row],[Amount]],OFFSET(Table2[[#This Row],[My Actual Balance]],-1,0))</f>
        <v>6733.7599999999993</v>
      </c>
      <c r="F115" s="10">
        <f ca="1">IF(Table2[[#This Row],[Spender]]="MV",OFFSET(Table2[[#This Row],[MV Balance]],-1,0)-Table2[[#This Row],[Amount]],OFFSET(Table2[[#This Row],[MV Balance]],-1,0))</f>
        <v>4152.4500000000007</v>
      </c>
      <c r="G115" s="10">
        <f t="shared" ca="1" si="4"/>
        <v>10886.21</v>
      </c>
    </row>
    <row r="116" spans="1:7" x14ac:dyDescent="0.45">
      <c r="A116" s="8">
        <v>45850</v>
      </c>
      <c r="B116" s="17">
        <v>894</v>
      </c>
      <c r="C116" s="11" t="s">
        <v>11</v>
      </c>
      <c r="D116" s="13" t="s">
        <v>51</v>
      </c>
      <c r="E116" s="10">
        <f ca="1">IF(Table2[[#This Row],[Spender]]="YEONG",OFFSET(Table2[[#This Row],[My Actual Balance]],-1,0)-Table2[[#This Row],[Amount]],OFFSET(Table2[[#This Row],[My Actual Balance]],-1,0))</f>
        <v>6733.7599999999993</v>
      </c>
      <c r="F116" s="10">
        <f ca="1">IF(Table2[[#This Row],[Spender]]="MV",OFFSET(Table2[[#This Row],[MV Balance]],-1,0)-Table2[[#This Row],[Amount]],OFFSET(Table2[[#This Row],[MV Balance]],-1,0))</f>
        <v>3258.4500000000007</v>
      </c>
      <c r="G116" s="10">
        <f t="shared" ref="G116:G129" ca="1" si="5">SUM(E116:F116)</f>
        <v>9992.2099999999991</v>
      </c>
    </row>
    <row r="117" spans="1:7" x14ac:dyDescent="0.45">
      <c r="A117" s="8">
        <v>45850</v>
      </c>
      <c r="B117" s="17">
        <v>627</v>
      </c>
      <c r="C117" s="11" t="s">
        <v>11</v>
      </c>
      <c r="D117" s="13" t="s">
        <v>53</v>
      </c>
      <c r="E117" s="10">
        <f ca="1">IF(Table2[[#This Row],[Spender]]="YEONG",OFFSET(Table2[[#This Row],[My Actual Balance]],-1,0)-Table2[[#This Row],[Amount]],OFFSET(Table2[[#This Row],[My Actual Balance]],-1,0))</f>
        <v>6733.7599999999993</v>
      </c>
      <c r="F117" s="10">
        <f ca="1">IF(Table2[[#This Row],[Spender]]="MV",OFFSET(Table2[[#This Row],[MV Balance]],-1,0)-Table2[[#This Row],[Amount]],OFFSET(Table2[[#This Row],[MV Balance]],-1,0))</f>
        <v>2631.4500000000007</v>
      </c>
      <c r="G117" s="10">
        <f t="shared" ca="1" si="5"/>
        <v>9365.2099999999991</v>
      </c>
    </row>
    <row r="118" spans="1:7" x14ac:dyDescent="0.45">
      <c r="A118" s="8">
        <v>45850</v>
      </c>
      <c r="B118" s="17">
        <v>520</v>
      </c>
      <c r="C118" s="11" t="s">
        <v>11</v>
      </c>
      <c r="D118" s="13" t="s">
        <v>55</v>
      </c>
      <c r="E118" s="10">
        <f ca="1">IF(Table2[[#This Row],[Spender]]="YEONG",OFFSET(Table2[[#This Row],[My Actual Balance]],-1,0)-Table2[[#This Row],[Amount]],OFFSET(Table2[[#This Row],[My Actual Balance]],-1,0))</f>
        <v>6733.7599999999993</v>
      </c>
      <c r="F118" s="10">
        <f ca="1">IF(Table2[[#This Row],[Spender]]="MV",OFFSET(Table2[[#This Row],[MV Balance]],-1,0)-Table2[[#This Row],[Amount]],OFFSET(Table2[[#This Row],[MV Balance]],-1,0))</f>
        <v>2111.4500000000007</v>
      </c>
      <c r="G118" s="10">
        <f t="shared" ca="1" si="5"/>
        <v>8845.2099999999991</v>
      </c>
    </row>
    <row r="119" spans="1:7" x14ac:dyDescent="0.45">
      <c r="A119" s="8">
        <v>45852</v>
      </c>
      <c r="B119" s="17">
        <v>946</v>
      </c>
      <c r="C119" s="11" t="s">
        <v>11</v>
      </c>
      <c r="D119" s="13" t="s">
        <v>57</v>
      </c>
      <c r="E119" s="10">
        <f ca="1">IF(Table2[[#This Row],[Spender]]="YEONG",OFFSET(Table2[[#This Row],[My Actual Balance]],-1,0)-Table2[[#This Row],[Amount]],OFFSET(Table2[[#This Row],[My Actual Balance]],-1,0))</f>
        <v>6733.7599999999993</v>
      </c>
      <c r="F119" s="10">
        <f ca="1">IF(Table2[[#This Row],[Spender]]="MV",OFFSET(Table2[[#This Row],[MV Balance]],-1,0)-Table2[[#This Row],[Amount]],OFFSET(Table2[[#This Row],[MV Balance]],-1,0))</f>
        <v>1165.4500000000007</v>
      </c>
      <c r="G119" s="10">
        <f t="shared" ca="1" si="5"/>
        <v>7899.21</v>
      </c>
    </row>
    <row r="120" spans="1:7" x14ac:dyDescent="0.45">
      <c r="A120" s="8">
        <v>45853</v>
      </c>
      <c r="B120" s="17">
        <v>1025</v>
      </c>
      <c r="C120" s="11" t="s">
        <v>11</v>
      </c>
      <c r="D120" s="13" t="s">
        <v>59</v>
      </c>
      <c r="E120" s="10">
        <f ca="1">IF(Table2[[#This Row],[Spender]]="YEONG",OFFSET(Table2[[#This Row],[My Actual Balance]],-1,0)-Table2[[#This Row],[Amount]],OFFSET(Table2[[#This Row],[My Actual Balance]],-1,0))</f>
        <v>6733.7599999999993</v>
      </c>
      <c r="F120" s="10">
        <f ca="1">IF(Table2[[#This Row],[Spender]]="MV",OFFSET(Table2[[#This Row],[MV Balance]],-1,0)-Table2[[#This Row],[Amount]],OFFSET(Table2[[#This Row],[MV Balance]],-1,0))</f>
        <v>140.45000000000073</v>
      </c>
      <c r="G120" s="10">
        <f t="shared" ca="1" si="5"/>
        <v>6874.21</v>
      </c>
    </row>
    <row r="121" spans="1:7" x14ac:dyDescent="0.45">
      <c r="A121" s="8">
        <v>45855</v>
      </c>
      <c r="B121" s="17">
        <v>-10000</v>
      </c>
      <c r="C121" s="11" t="s">
        <v>11</v>
      </c>
      <c r="D121" s="13" t="s">
        <v>60</v>
      </c>
      <c r="E121" s="10">
        <f ca="1">IF(Table2[[#This Row],[Spender]]="YEONG",OFFSET(Table2[[#This Row],[My Actual Balance]],-1,0)-Table2[[#This Row],[Amount]],OFFSET(Table2[[#This Row],[My Actual Balance]],-1,0))</f>
        <v>6733.7599999999993</v>
      </c>
      <c r="F121" s="10">
        <f ca="1">IF(Table2[[#This Row],[Spender]]="MV",OFFSET(Table2[[#This Row],[MV Balance]],-1,0)-Table2[[#This Row],[Amount]],OFFSET(Table2[[#This Row],[MV Balance]],-1,0))</f>
        <v>10140.450000000001</v>
      </c>
      <c r="G121" s="10">
        <f t="shared" ca="1" si="5"/>
        <v>16874.21</v>
      </c>
    </row>
    <row r="122" spans="1:7" x14ac:dyDescent="0.45">
      <c r="A122" s="8">
        <v>45856</v>
      </c>
      <c r="B122" s="17">
        <v>825</v>
      </c>
      <c r="C122" s="11" t="s">
        <v>11</v>
      </c>
      <c r="D122" s="13" t="s">
        <v>62</v>
      </c>
      <c r="E122" s="10">
        <f ca="1">IF(Table2[[#This Row],[Spender]]="YEONG",OFFSET(Table2[[#This Row],[My Actual Balance]],-1,0)-Table2[[#This Row],[Amount]],OFFSET(Table2[[#This Row],[My Actual Balance]],-1,0))</f>
        <v>6733.7599999999993</v>
      </c>
      <c r="F122" s="10">
        <f ca="1">IF(Table2[[#This Row],[Spender]]="MV",OFFSET(Table2[[#This Row],[MV Balance]],-1,0)-Table2[[#This Row],[Amount]],OFFSET(Table2[[#This Row],[MV Balance]],-1,0))</f>
        <v>9315.4500000000007</v>
      </c>
      <c r="G122" s="10">
        <f t="shared" ca="1" si="5"/>
        <v>16049.21</v>
      </c>
    </row>
    <row r="123" spans="1:7" x14ac:dyDescent="0.45">
      <c r="A123" s="8">
        <v>45856</v>
      </c>
      <c r="B123" s="17">
        <v>982.5</v>
      </c>
      <c r="C123" s="11" t="s">
        <v>11</v>
      </c>
      <c r="D123" s="13" t="s">
        <v>64</v>
      </c>
      <c r="E123" s="10">
        <f ca="1">IF(Table2[[#This Row],[Spender]]="YEONG",OFFSET(Table2[[#This Row],[My Actual Balance]],-1,0)-Table2[[#This Row],[Amount]],OFFSET(Table2[[#This Row],[My Actual Balance]],-1,0))</f>
        <v>6733.7599999999993</v>
      </c>
      <c r="F123" s="10">
        <f ca="1">IF(Table2[[#This Row],[Spender]]="MV",OFFSET(Table2[[#This Row],[MV Balance]],-1,0)-Table2[[#This Row],[Amount]],OFFSET(Table2[[#This Row],[MV Balance]],-1,0))</f>
        <v>8332.9500000000007</v>
      </c>
      <c r="G123" s="10">
        <f t="shared" ca="1" si="5"/>
        <v>15066.71</v>
      </c>
    </row>
    <row r="124" spans="1:7" x14ac:dyDescent="0.45">
      <c r="A124" s="8">
        <v>45861</v>
      </c>
      <c r="B124" s="17">
        <v>448</v>
      </c>
      <c r="C124" s="11" t="s">
        <v>11</v>
      </c>
      <c r="D124" s="13" t="s">
        <v>66</v>
      </c>
      <c r="E124" s="10">
        <f ca="1">IF(Table2[[#This Row],[Spender]]="YEONG",OFFSET(Table2[[#This Row],[My Actual Balance]],-1,0)-Table2[[#This Row],[Amount]],OFFSET(Table2[[#This Row],[My Actual Balance]],-1,0))</f>
        <v>6733.7599999999993</v>
      </c>
      <c r="F124" s="10">
        <f ca="1">IF(Table2[[#This Row],[Spender]]="MV",OFFSET(Table2[[#This Row],[MV Balance]],-1,0)-Table2[[#This Row],[Amount]],OFFSET(Table2[[#This Row],[MV Balance]],-1,0))</f>
        <v>7884.9500000000007</v>
      </c>
      <c r="G124" s="10">
        <f t="shared" ca="1" si="5"/>
        <v>14618.71</v>
      </c>
    </row>
    <row r="125" spans="1:7" x14ac:dyDescent="0.45">
      <c r="A125" s="8">
        <v>45861</v>
      </c>
      <c r="B125" s="17">
        <v>46</v>
      </c>
      <c r="C125" s="11" t="s">
        <v>30</v>
      </c>
      <c r="D125" s="13" t="s">
        <v>68</v>
      </c>
      <c r="E125" s="10">
        <f ca="1">IF(Table2[[#This Row],[Spender]]="YEONG",OFFSET(Table2[[#This Row],[My Actual Balance]],-1,0)-Table2[[#This Row],[Amount]],OFFSET(Table2[[#This Row],[My Actual Balance]],-1,0))</f>
        <v>6687.7599999999993</v>
      </c>
      <c r="F125" s="10">
        <f ca="1">IF(Table2[[#This Row],[Spender]]="MV",OFFSET(Table2[[#This Row],[MV Balance]],-1,0)-Table2[[#This Row],[Amount]],OFFSET(Table2[[#This Row],[MV Balance]],-1,0))</f>
        <v>7884.9500000000007</v>
      </c>
      <c r="G125" s="10">
        <f t="shared" ca="1" si="5"/>
        <v>14572.71</v>
      </c>
    </row>
    <row r="126" spans="1:7" x14ac:dyDescent="0.45">
      <c r="A126" s="8">
        <v>45863</v>
      </c>
      <c r="B126" s="17">
        <v>297.5</v>
      </c>
      <c r="C126" s="11" t="s">
        <v>11</v>
      </c>
      <c r="D126" s="13" t="s">
        <v>70</v>
      </c>
      <c r="E126" s="10">
        <f ca="1">IF(Table2[[#This Row],[Spender]]="YEONG",OFFSET(Table2[[#This Row],[My Actual Balance]],-1,0)-Table2[[#This Row],[Amount]],OFFSET(Table2[[#This Row],[My Actual Balance]],-1,0))</f>
        <v>6687.7599999999993</v>
      </c>
      <c r="F126" s="10">
        <f ca="1">IF(Table2[[#This Row],[Spender]]="MV",OFFSET(Table2[[#This Row],[MV Balance]],-1,0)-Table2[[#This Row],[Amount]],OFFSET(Table2[[#This Row],[MV Balance]],-1,0))</f>
        <v>7587.4500000000007</v>
      </c>
      <c r="G126" s="10">
        <f t="shared" ca="1" si="5"/>
        <v>14275.21</v>
      </c>
    </row>
    <row r="127" spans="1:7" x14ac:dyDescent="0.45">
      <c r="A127" s="8">
        <v>45863</v>
      </c>
      <c r="B127" s="17">
        <v>840</v>
      </c>
      <c r="C127" s="11" t="s">
        <v>11</v>
      </c>
      <c r="D127" s="13" t="s">
        <v>72</v>
      </c>
      <c r="E127" s="10">
        <f ca="1">IF(Table2[[#This Row],[Spender]]="YEONG",OFFSET(Table2[[#This Row],[My Actual Balance]],-1,0)-Table2[[#This Row],[Amount]],OFFSET(Table2[[#This Row],[My Actual Balance]],-1,0))</f>
        <v>6687.7599999999993</v>
      </c>
      <c r="F127" s="10">
        <f ca="1">IF(Table2[[#This Row],[Spender]]="MV",OFFSET(Table2[[#This Row],[MV Balance]],-1,0)-Table2[[#This Row],[Amount]],OFFSET(Table2[[#This Row],[MV Balance]],-1,0))</f>
        <v>6747.4500000000007</v>
      </c>
      <c r="G127" s="10">
        <f t="shared" ca="1" si="5"/>
        <v>13435.21</v>
      </c>
    </row>
    <row r="128" spans="1:7" x14ac:dyDescent="0.45">
      <c r="A128" s="8">
        <v>45864</v>
      </c>
      <c r="B128" s="17">
        <v>825</v>
      </c>
      <c r="C128" s="11" t="s">
        <v>11</v>
      </c>
      <c r="D128" s="13" t="s">
        <v>73</v>
      </c>
      <c r="E128" s="10">
        <f ca="1">IF(Table2[[#This Row],[Spender]]="YEONG",OFFSET(Table2[[#This Row],[My Actual Balance]],-1,0)-Table2[[#This Row],[Amount]],OFFSET(Table2[[#This Row],[My Actual Balance]],-1,0))</f>
        <v>6687.7599999999993</v>
      </c>
      <c r="F128" s="10">
        <f ca="1">IF(Table2[[#This Row],[Spender]]="MV",OFFSET(Table2[[#This Row],[MV Balance]],-1,0)-Table2[[#This Row],[Amount]],OFFSET(Table2[[#This Row],[MV Balance]],-1,0))</f>
        <v>5922.4500000000007</v>
      </c>
      <c r="G128" s="10">
        <f t="shared" ca="1" si="5"/>
        <v>12610.21</v>
      </c>
    </row>
    <row r="129" spans="1:7" x14ac:dyDescent="0.45">
      <c r="A129" s="8">
        <v>45864</v>
      </c>
      <c r="B129" s="17">
        <v>613.4</v>
      </c>
      <c r="C129" s="11" t="s">
        <v>11</v>
      </c>
      <c r="D129" s="13" t="s">
        <v>75</v>
      </c>
      <c r="E129" s="10">
        <f ca="1">IF(Table2[[#This Row],[Spender]]="YEONG",OFFSET(Table2[[#This Row],[My Actual Balance]],-1,0)-Table2[[#This Row],[Amount]],OFFSET(Table2[[#This Row],[My Actual Balance]],-1,0))</f>
        <v>6687.7599999999993</v>
      </c>
      <c r="F129" s="10">
        <f ca="1">IF(Table2[[#This Row],[Spender]]="MV",OFFSET(Table2[[#This Row],[MV Balance]],-1,0)-Table2[[#This Row],[Amount]],OFFSET(Table2[[#This Row],[MV Balance]],-1,0))</f>
        <v>5309.0500000000011</v>
      </c>
      <c r="G129" s="10">
        <f t="shared" ca="1" si="5"/>
        <v>11996.810000000001</v>
      </c>
    </row>
    <row r="130" spans="1:7" x14ac:dyDescent="0.45">
      <c r="A130" s="8">
        <v>45867</v>
      </c>
      <c r="B130" s="17">
        <v>940</v>
      </c>
      <c r="C130" s="11" t="s">
        <v>11</v>
      </c>
      <c r="D130" s="13" t="s">
        <v>79</v>
      </c>
      <c r="E130" s="10">
        <f ca="1">IF(Table2[[#This Row],[Spender]]="YEONG",OFFSET(Table2[[#This Row],[My Actual Balance]],-1,0)-Table2[[#This Row],[Amount]],OFFSET(Table2[[#This Row],[My Actual Balance]],-1,0))</f>
        <v>6687.7599999999993</v>
      </c>
      <c r="F130" s="10">
        <f ca="1">IF(Table2[[#This Row],[Spender]]="MV",OFFSET(Table2[[#This Row],[MV Balance]],-1,0)-Table2[[#This Row],[Amount]],OFFSET(Table2[[#This Row],[MV Balance]],-1,0))</f>
        <v>4369.0500000000011</v>
      </c>
      <c r="G130" s="10">
        <f t="shared" ref="G130:G132" ca="1" si="6">SUM(E130:F130)</f>
        <v>11056.810000000001</v>
      </c>
    </row>
    <row r="131" spans="1:7" x14ac:dyDescent="0.45">
      <c r="A131" s="8">
        <v>45867</v>
      </c>
      <c r="B131" s="18">
        <v>885</v>
      </c>
      <c r="C131" t="s">
        <v>11</v>
      </c>
      <c r="D131" s="3" t="s">
        <v>77</v>
      </c>
      <c r="E131" s="10">
        <f ca="1">IF(Table2[[#This Row],[Spender]]="YEONG",OFFSET(Table2[[#This Row],[My Actual Balance]],-1,0)-Table2[[#This Row],[Amount]],OFFSET(Table2[[#This Row],[My Actual Balance]],-1,0))</f>
        <v>6687.7599999999993</v>
      </c>
      <c r="F131" s="10">
        <f ca="1">IF(Table2[[#This Row],[Spender]]="MV",OFFSET(Table2[[#This Row],[MV Balance]],-1,0)-Table2[[#This Row],[Amount]],OFFSET(Table2[[#This Row],[MV Balance]],-1,0))</f>
        <v>3484.0500000000011</v>
      </c>
      <c r="G131" s="10">
        <f t="shared" ca="1" si="6"/>
        <v>10171.810000000001</v>
      </c>
    </row>
    <row r="132" spans="1:7" x14ac:dyDescent="0.45">
      <c r="A132" s="8">
        <v>45870</v>
      </c>
      <c r="B132" s="18">
        <v>2831</v>
      </c>
      <c r="C132" t="s">
        <v>11</v>
      </c>
      <c r="D132" s="3" t="s">
        <v>81</v>
      </c>
      <c r="E132" s="10">
        <f ca="1">IF(Table2[[#This Row],[Spender]]="YEONG",OFFSET(Table2[[#This Row],[My Actual Balance]],-1,0)-Table2[[#This Row],[Amount]],OFFSET(Table2[[#This Row],[My Actual Balance]],-1,0))</f>
        <v>6687.7599999999993</v>
      </c>
      <c r="F132" s="10">
        <f ca="1">IF(Table2[[#This Row],[Spender]]="MV",OFFSET(Table2[[#This Row],[MV Balance]],-1,0)-Table2[[#This Row],[Amount]],OFFSET(Table2[[#This Row],[MV Balance]],-1,0))</f>
        <v>653.05000000000109</v>
      </c>
      <c r="G132" s="10">
        <f t="shared" ca="1" si="6"/>
        <v>7340.81</v>
      </c>
    </row>
    <row r="133" spans="1:7" x14ac:dyDescent="0.45">
      <c r="A133" s="8">
        <v>45875</v>
      </c>
      <c r="B133" s="18">
        <v>-10000</v>
      </c>
      <c r="C133" t="s">
        <v>11</v>
      </c>
      <c r="D133" s="3" t="s">
        <v>82</v>
      </c>
      <c r="E133" s="10">
        <f ca="1">IF(Table2[[#This Row],[Spender]]="YEONG",OFFSET(Table2[[#This Row],[My Actual Balance]],-1,0)-Table2[[#This Row],[Amount]],OFFSET(Table2[[#This Row],[My Actual Balance]],-1,0))</f>
        <v>6687.7599999999993</v>
      </c>
      <c r="F133" s="10">
        <f ca="1">IF(Table2[[#This Row],[Spender]]="MV",OFFSET(Table2[[#This Row],[MV Balance]],-1,0)-Table2[[#This Row],[Amount]],OFFSET(Table2[[#This Row],[MV Balance]],-1,0))</f>
        <v>10653.050000000001</v>
      </c>
      <c r="G133" s="10">
        <f t="shared" ref="G133:G138" ca="1" si="7">SUM(E133:F133)</f>
        <v>17340.810000000001</v>
      </c>
    </row>
    <row r="134" spans="1:7" x14ac:dyDescent="0.45">
      <c r="A134" s="8">
        <v>45875</v>
      </c>
      <c r="B134" s="18">
        <v>4074</v>
      </c>
      <c r="C134" t="s">
        <v>11</v>
      </c>
      <c r="D134" s="3" t="s">
        <v>84</v>
      </c>
      <c r="E134" s="10">
        <f ca="1">IF(Table2[[#This Row],[Spender]]="YEONG",OFFSET(Table2[[#This Row],[My Actual Balance]],-1,0)-Table2[[#This Row],[Amount]],OFFSET(Table2[[#This Row],[My Actual Balance]],-1,0))</f>
        <v>6687.7599999999993</v>
      </c>
      <c r="F134" s="10">
        <f ca="1">IF(Table2[[#This Row],[Spender]]="MV",OFFSET(Table2[[#This Row],[MV Balance]],-1,0)-Table2[[#This Row],[Amount]],OFFSET(Table2[[#This Row],[MV Balance]],-1,0))</f>
        <v>6579.0500000000011</v>
      </c>
      <c r="G134" s="10">
        <f t="shared" ca="1" si="7"/>
        <v>13266.810000000001</v>
      </c>
    </row>
    <row r="135" spans="1:7" x14ac:dyDescent="0.45">
      <c r="A135" s="8">
        <v>45876</v>
      </c>
      <c r="B135" s="18">
        <v>825</v>
      </c>
      <c r="C135" t="s">
        <v>11</v>
      </c>
      <c r="D135" s="3" t="s">
        <v>86</v>
      </c>
      <c r="E135" s="10">
        <f ca="1">IF(Table2[[#This Row],[Spender]]="YEONG",OFFSET(Table2[[#This Row],[My Actual Balance]],-1,0)-Table2[[#This Row],[Amount]],OFFSET(Table2[[#This Row],[My Actual Balance]],-1,0))</f>
        <v>6687.7599999999993</v>
      </c>
      <c r="F135" s="10">
        <f ca="1">IF(Table2[[#This Row],[Spender]]="MV",OFFSET(Table2[[#This Row],[MV Balance]],-1,0)-Table2[[#This Row],[Amount]],OFFSET(Table2[[#This Row],[MV Balance]],-1,0))</f>
        <v>5754.0500000000011</v>
      </c>
      <c r="G135" s="10">
        <f t="shared" ca="1" si="7"/>
        <v>12441.810000000001</v>
      </c>
    </row>
    <row r="136" spans="1:7" x14ac:dyDescent="0.45">
      <c r="A136" s="8">
        <v>45877</v>
      </c>
      <c r="B136" s="18">
        <v>935.5</v>
      </c>
      <c r="C136" t="s">
        <v>11</v>
      </c>
      <c r="D136" s="3" t="s">
        <v>88</v>
      </c>
      <c r="E136" s="10">
        <f ca="1">IF(Table2[[#This Row],[Spender]]="YEONG",OFFSET(Table2[[#This Row],[My Actual Balance]],-1,0)-Table2[[#This Row],[Amount]],OFFSET(Table2[[#This Row],[My Actual Balance]],-1,0))</f>
        <v>6687.7599999999993</v>
      </c>
      <c r="F136" s="10">
        <f ca="1">IF(Table2[[#This Row],[Spender]]="MV",OFFSET(Table2[[#This Row],[MV Balance]],-1,0)-Table2[[#This Row],[Amount]],OFFSET(Table2[[#This Row],[MV Balance]],-1,0))</f>
        <v>4818.5500000000011</v>
      </c>
      <c r="G136" s="10">
        <f t="shared" ca="1" si="7"/>
        <v>11506.310000000001</v>
      </c>
    </row>
    <row r="137" spans="1:7" x14ac:dyDescent="0.45">
      <c r="A137" s="8">
        <v>45878</v>
      </c>
      <c r="B137" s="18">
        <v>905</v>
      </c>
      <c r="C137" t="s">
        <v>11</v>
      </c>
      <c r="D137" s="3" t="s">
        <v>90</v>
      </c>
      <c r="E137" s="10">
        <f ca="1">IF(Table2[[#This Row],[Spender]]="YEONG",OFFSET(Table2[[#This Row],[My Actual Balance]],-1,0)-Table2[[#This Row],[Amount]],OFFSET(Table2[[#This Row],[My Actual Balance]],-1,0))</f>
        <v>6687.7599999999993</v>
      </c>
      <c r="F137" s="10">
        <f ca="1">IF(Table2[[#This Row],[Spender]]="MV",OFFSET(Table2[[#This Row],[MV Balance]],-1,0)-Table2[[#This Row],[Amount]],OFFSET(Table2[[#This Row],[MV Balance]],-1,0))</f>
        <v>3913.5500000000011</v>
      </c>
      <c r="G137" s="10">
        <f t="shared" ca="1" si="7"/>
        <v>10601.310000000001</v>
      </c>
    </row>
    <row r="138" spans="1:7" x14ac:dyDescent="0.45">
      <c r="A138" s="8">
        <v>45878</v>
      </c>
      <c r="B138" s="18">
        <v>523</v>
      </c>
      <c r="C138" t="s">
        <v>11</v>
      </c>
      <c r="D138" s="3" t="s">
        <v>92</v>
      </c>
      <c r="E138" s="10">
        <f ca="1">IF(Table2[[#This Row],[Spender]]="YEONG",OFFSET(Table2[[#This Row],[My Actual Balance]],-1,0)-Table2[[#This Row],[Amount]],OFFSET(Table2[[#This Row],[My Actual Balance]],-1,0))</f>
        <v>6687.7599999999993</v>
      </c>
      <c r="F138" s="10">
        <f ca="1">IF(Table2[[#This Row],[Spender]]="MV",OFFSET(Table2[[#This Row],[MV Balance]],-1,0)-Table2[[#This Row],[Amount]],OFFSET(Table2[[#This Row],[MV Balance]],-1,0))</f>
        <v>3390.5500000000011</v>
      </c>
      <c r="G138" s="10">
        <f t="shared" ca="1" si="7"/>
        <v>10078.310000000001</v>
      </c>
    </row>
    <row r="139" spans="1:7" x14ac:dyDescent="0.45">
      <c r="A139" s="8">
        <v>45880</v>
      </c>
      <c r="B139" s="18">
        <v>1895</v>
      </c>
      <c r="C139" t="s">
        <v>11</v>
      </c>
      <c r="D139" s="3" t="s">
        <v>94</v>
      </c>
      <c r="E139" s="10">
        <f ca="1">IF(Table2[[#This Row],[Spender]]="YEONG",OFFSET(Table2[[#This Row],[My Actual Balance]],-1,0)-Table2[[#This Row],[Amount]],OFFSET(Table2[[#This Row],[My Actual Balance]],-1,0))</f>
        <v>6687.7599999999993</v>
      </c>
      <c r="F139" s="10">
        <f ca="1">IF(Table2[[#This Row],[Spender]]="MV",OFFSET(Table2[[#This Row],[MV Balance]],-1,0)-Table2[[#This Row],[Amount]],OFFSET(Table2[[#This Row],[MV Balance]],-1,0))</f>
        <v>1495.5500000000011</v>
      </c>
      <c r="G139" s="10">
        <f t="shared" ref="G139:G147" ca="1" si="8">SUM(E139:F139)</f>
        <v>8183.31</v>
      </c>
    </row>
    <row r="140" spans="1:7" x14ac:dyDescent="0.45">
      <c r="A140" s="8">
        <v>45883</v>
      </c>
      <c r="B140" s="18">
        <v>-10000</v>
      </c>
      <c r="C140" t="s">
        <v>11</v>
      </c>
      <c r="D140" s="3" t="s">
        <v>95</v>
      </c>
      <c r="E140" s="10">
        <f ca="1">IF(Table2[[#This Row],[Spender]]="YEONG",OFFSET(Table2[[#This Row],[My Actual Balance]],-1,0)-Table2[[#This Row],[Amount]],OFFSET(Table2[[#This Row],[My Actual Balance]],-1,0))</f>
        <v>6687.7599999999993</v>
      </c>
      <c r="F140" s="10">
        <f ca="1">IF(Table2[[#This Row],[Spender]]="MV",OFFSET(Table2[[#This Row],[MV Balance]],-1,0)-Table2[[#This Row],[Amount]],OFFSET(Table2[[#This Row],[MV Balance]],-1,0))</f>
        <v>11495.550000000001</v>
      </c>
      <c r="G140" s="10">
        <f t="shared" ca="1" si="8"/>
        <v>18183.310000000001</v>
      </c>
    </row>
    <row r="141" spans="1:7" x14ac:dyDescent="0.45">
      <c r="A141" s="8">
        <v>45884</v>
      </c>
      <c r="B141" s="18">
        <v>4145</v>
      </c>
      <c r="C141" t="s">
        <v>11</v>
      </c>
      <c r="D141" s="3" t="s">
        <v>97</v>
      </c>
      <c r="E141" s="10">
        <f ca="1">IF(Table2[[#This Row],[Spender]]="YEONG",OFFSET(Table2[[#This Row],[My Actual Balance]],-1,0)-Table2[[#This Row],[Amount]],OFFSET(Table2[[#This Row],[My Actual Balance]],-1,0))</f>
        <v>6687.7599999999993</v>
      </c>
      <c r="F141" s="10">
        <f ca="1">IF(Table2[[#This Row],[Spender]]="MV",OFFSET(Table2[[#This Row],[MV Balance]],-1,0)-Table2[[#This Row],[Amount]],OFFSET(Table2[[#This Row],[MV Balance]],-1,0))</f>
        <v>7350.5500000000011</v>
      </c>
      <c r="G141" s="10">
        <f t="shared" ca="1" si="8"/>
        <v>14038.310000000001</v>
      </c>
    </row>
    <row r="142" spans="1:7" x14ac:dyDescent="0.45">
      <c r="A142" s="8">
        <v>45886</v>
      </c>
      <c r="B142" s="18">
        <v>540</v>
      </c>
      <c r="C142" t="s">
        <v>11</v>
      </c>
      <c r="D142" s="3" t="s">
        <v>99</v>
      </c>
      <c r="E142" s="10">
        <f ca="1">IF(Table2[[#This Row],[Spender]]="YEONG",OFFSET(Table2[[#This Row],[My Actual Balance]],-1,0)-Table2[[#This Row],[Amount]],OFFSET(Table2[[#This Row],[My Actual Balance]],-1,0))</f>
        <v>6687.7599999999993</v>
      </c>
      <c r="F142" s="10">
        <f ca="1">IF(Table2[[#This Row],[Spender]]="MV",OFFSET(Table2[[#This Row],[MV Balance]],-1,0)-Table2[[#This Row],[Amount]],OFFSET(Table2[[#This Row],[MV Balance]],-1,0))</f>
        <v>6810.5500000000011</v>
      </c>
      <c r="G142" s="10">
        <f t="shared" ca="1" si="8"/>
        <v>13498.310000000001</v>
      </c>
    </row>
    <row r="143" spans="1:7" x14ac:dyDescent="0.45">
      <c r="A143" s="8">
        <v>45888</v>
      </c>
      <c r="B143" s="18">
        <v>1030</v>
      </c>
      <c r="C143" t="s">
        <v>11</v>
      </c>
      <c r="D143" s="3" t="s">
        <v>101</v>
      </c>
      <c r="E143" s="10">
        <f ca="1">IF(Table2[[#This Row],[Spender]]="YEONG",OFFSET(Table2[[#This Row],[My Actual Balance]],-1,0)-Table2[[#This Row],[Amount]],OFFSET(Table2[[#This Row],[My Actual Balance]],-1,0))</f>
        <v>6687.7599999999993</v>
      </c>
      <c r="F143" s="10">
        <f ca="1">IF(Table2[[#This Row],[Spender]]="MV",OFFSET(Table2[[#This Row],[MV Balance]],-1,0)-Table2[[#This Row],[Amount]],OFFSET(Table2[[#This Row],[MV Balance]],-1,0))</f>
        <v>5780.5500000000011</v>
      </c>
      <c r="G143" s="10">
        <f t="shared" ca="1" si="8"/>
        <v>12468.310000000001</v>
      </c>
    </row>
    <row r="144" spans="1:7" x14ac:dyDescent="0.45">
      <c r="A144" s="8">
        <v>45888</v>
      </c>
      <c r="B144" s="18">
        <v>1020</v>
      </c>
      <c r="C144" t="s">
        <v>11</v>
      </c>
      <c r="D144" s="3" t="s">
        <v>103</v>
      </c>
      <c r="E144" s="10">
        <f ca="1">IF(Table2[[#This Row],[Spender]]="YEONG",OFFSET(Table2[[#This Row],[My Actual Balance]],-1,0)-Table2[[#This Row],[Amount]],OFFSET(Table2[[#This Row],[My Actual Balance]],-1,0))</f>
        <v>6687.7599999999993</v>
      </c>
      <c r="F144" s="10">
        <f ca="1">IF(Table2[[#This Row],[Spender]]="MV",OFFSET(Table2[[#This Row],[MV Balance]],-1,0)-Table2[[#This Row],[Amount]],OFFSET(Table2[[#This Row],[MV Balance]],-1,0))</f>
        <v>4760.5500000000011</v>
      </c>
      <c r="G144" s="10">
        <f t="shared" ca="1" si="8"/>
        <v>11448.310000000001</v>
      </c>
    </row>
    <row r="145" spans="1:7" x14ac:dyDescent="0.45">
      <c r="A145" s="8">
        <v>45888</v>
      </c>
      <c r="B145" s="18">
        <v>666</v>
      </c>
      <c r="C145" t="s">
        <v>11</v>
      </c>
      <c r="D145" s="3" t="s">
        <v>105</v>
      </c>
      <c r="E145" s="10">
        <f ca="1">IF(Table2[[#This Row],[Spender]]="YEONG",OFFSET(Table2[[#This Row],[My Actual Balance]],-1,0)-Table2[[#This Row],[Amount]],OFFSET(Table2[[#This Row],[My Actual Balance]],-1,0))</f>
        <v>6687.7599999999993</v>
      </c>
      <c r="F145" s="10">
        <f ca="1">IF(Table2[[#This Row],[Spender]]="MV",OFFSET(Table2[[#This Row],[MV Balance]],-1,0)-Table2[[#This Row],[Amount]],OFFSET(Table2[[#This Row],[MV Balance]],-1,0))</f>
        <v>4094.5500000000011</v>
      </c>
      <c r="G145" s="10">
        <f t="shared" ca="1" si="8"/>
        <v>10782.310000000001</v>
      </c>
    </row>
    <row r="146" spans="1:7" x14ac:dyDescent="0.45">
      <c r="A146" s="8">
        <v>45892</v>
      </c>
      <c r="B146" s="18">
        <v>21.2</v>
      </c>
      <c r="C146" t="s">
        <v>30</v>
      </c>
      <c r="D146" s="3" t="s">
        <v>68</v>
      </c>
      <c r="E146" s="10">
        <f ca="1">IF(Table2[[#This Row],[Spender]]="YEONG",OFFSET(Table2[[#This Row],[My Actual Balance]],-1,0)-Table2[[#This Row],[Amount]],OFFSET(Table2[[#This Row],[My Actual Balance]],-1,0))</f>
        <v>6666.5599999999995</v>
      </c>
      <c r="F146" s="10">
        <f ca="1">IF(Table2[[#This Row],[Spender]]="MV",OFFSET(Table2[[#This Row],[MV Balance]],-1,0)-Table2[[#This Row],[Amount]],OFFSET(Table2[[#This Row],[MV Balance]],-1,0))</f>
        <v>4094.5500000000011</v>
      </c>
      <c r="G146" s="10">
        <f t="shared" ca="1" si="8"/>
        <v>10761.11</v>
      </c>
    </row>
    <row r="147" spans="1:7" x14ac:dyDescent="0.45">
      <c r="A147" s="8">
        <v>45894</v>
      </c>
      <c r="B147" s="18">
        <v>433</v>
      </c>
      <c r="C147" t="s">
        <v>11</v>
      </c>
      <c r="D147" s="3" t="s">
        <v>108</v>
      </c>
      <c r="E147" s="10">
        <f ca="1">IF(Table2[[#This Row],[Spender]]="YEONG",OFFSET(Table2[[#This Row],[My Actual Balance]],-1,0)-Table2[[#This Row],[Amount]],OFFSET(Table2[[#This Row],[My Actual Balance]],-1,0))</f>
        <v>6666.5599999999995</v>
      </c>
      <c r="F147" s="10">
        <f ca="1">IF(Table2[[#This Row],[Spender]]="MV",OFFSET(Table2[[#This Row],[MV Balance]],-1,0)-Table2[[#This Row],[Amount]],OFFSET(Table2[[#This Row],[MV Balance]],-1,0))</f>
        <v>3661.5500000000011</v>
      </c>
      <c r="G147" s="10">
        <f t="shared" ca="1" si="8"/>
        <v>10328.11</v>
      </c>
    </row>
    <row r="148" spans="1:7" x14ac:dyDescent="0.45">
      <c r="A148" s="8">
        <v>45894</v>
      </c>
      <c r="B148" s="18">
        <v>-10000</v>
      </c>
      <c r="C148" t="s">
        <v>11</v>
      </c>
      <c r="D148" s="3" t="s">
        <v>95</v>
      </c>
      <c r="E148" s="10">
        <f ca="1">IF(Table2[[#This Row],[Spender]]="YEONG",OFFSET(Table2[[#This Row],[My Actual Balance]],-1,0)-Table2[[#This Row],[Amount]],OFFSET(Table2[[#This Row],[My Actual Balance]],-1,0))</f>
        <v>6666.5599999999995</v>
      </c>
      <c r="F148" s="10">
        <f ca="1">IF(Table2[[#This Row],[Spender]]="MV",OFFSET(Table2[[#This Row],[MV Balance]],-1,0)-Table2[[#This Row],[Amount]],OFFSET(Table2[[#This Row],[MV Balance]],-1,0))</f>
        <v>13661.550000000001</v>
      </c>
      <c r="G148" s="10">
        <f t="shared" ref="G148:G154" ca="1" si="9">SUM(E148:F148)</f>
        <v>20328.11</v>
      </c>
    </row>
    <row r="149" spans="1:7" x14ac:dyDescent="0.45">
      <c r="A149" s="1">
        <v>45895</v>
      </c>
      <c r="B149" s="18">
        <v>4000</v>
      </c>
      <c r="C149" t="s">
        <v>30</v>
      </c>
      <c r="D149" s="3" t="s">
        <v>258</v>
      </c>
      <c r="E149" s="10">
        <f ca="1">IF(Table2[[#This Row],[Spender]]="YEONG",OFFSET(Table2[[#This Row],[My Actual Balance]],-1,0)-Table2[[#This Row],[Amount]],OFFSET(Table2[[#This Row],[My Actual Balance]],-1,0))</f>
        <v>2666.5599999999995</v>
      </c>
      <c r="F149" s="10">
        <f ca="1">IF(Table2[[#This Row],[Spender]]="MV",OFFSET(Table2[[#This Row],[MV Balance]],-1,0)-Table2[[#This Row],[Amount]],OFFSET(Table2[[#This Row],[MV Balance]],-1,0))</f>
        <v>13661.550000000001</v>
      </c>
      <c r="G149" s="10">
        <f t="shared" ca="1" si="9"/>
        <v>16328.11</v>
      </c>
    </row>
    <row r="150" spans="1:7" x14ac:dyDescent="0.45">
      <c r="A150" s="1">
        <v>45896</v>
      </c>
      <c r="B150" s="18">
        <v>2324.8200000000002</v>
      </c>
      <c r="C150" t="s">
        <v>11</v>
      </c>
      <c r="D150" s="3" t="s">
        <v>110</v>
      </c>
      <c r="E150" s="10">
        <f ca="1">IF(Table2[[#This Row],[Spender]]="YEONG",OFFSET(Table2[[#This Row],[My Actual Balance]],-1,0)-Table2[[#This Row],[Amount]],OFFSET(Table2[[#This Row],[My Actual Balance]],-1,0))</f>
        <v>2666.5599999999995</v>
      </c>
      <c r="F150" s="10">
        <f ca="1">IF(Table2[[#This Row],[Spender]]="MV",OFFSET(Table2[[#This Row],[MV Balance]],-1,0)-Table2[[#This Row],[Amount]],OFFSET(Table2[[#This Row],[MV Balance]],-1,0))</f>
        <v>11336.730000000001</v>
      </c>
      <c r="G150" s="10">
        <f t="shared" ca="1" si="9"/>
        <v>14003.29</v>
      </c>
    </row>
    <row r="151" spans="1:7" x14ac:dyDescent="0.45">
      <c r="A151" s="1">
        <v>45896</v>
      </c>
      <c r="B151" s="18">
        <v>253</v>
      </c>
      <c r="C151" t="s">
        <v>11</v>
      </c>
      <c r="D151" s="3" t="s">
        <v>112</v>
      </c>
      <c r="E151" s="10">
        <f ca="1">IF(Table2[[#This Row],[Spender]]="YEONG",OFFSET(Table2[[#This Row],[My Actual Balance]],-1,0)-Table2[[#This Row],[Amount]],OFFSET(Table2[[#This Row],[My Actual Balance]],-1,0))</f>
        <v>2666.5599999999995</v>
      </c>
      <c r="F151" s="10">
        <f ca="1">IF(Table2[[#This Row],[Spender]]="MV",OFFSET(Table2[[#This Row],[MV Balance]],-1,0)-Table2[[#This Row],[Amount]],OFFSET(Table2[[#This Row],[MV Balance]],-1,0))</f>
        <v>11083.730000000001</v>
      </c>
      <c r="G151" s="10">
        <f t="shared" ca="1" si="9"/>
        <v>13750.29</v>
      </c>
    </row>
    <row r="152" spans="1:7" x14ac:dyDescent="0.45">
      <c r="A152" s="1">
        <v>45897</v>
      </c>
      <c r="B152" s="18">
        <v>1000</v>
      </c>
      <c r="C152" t="s">
        <v>11</v>
      </c>
      <c r="D152" s="3" t="s">
        <v>114</v>
      </c>
      <c r="E152" s="10">
        <f ca="1">IF(Table2[[#This Row],[Spender]]="YEONG",OFFSET(Table2[[#This Row],[My Actual Balance]],-1,0)-Table2[[#This Row],[Amount]],OFFSET(Table2[[#This Row],[My Actual Balance]],-1,0))</f>
        <v>2666.5599999999995</v>
      </c>
      <c r="F152" s="10">
        <f ca="1">IF(Table2[[#This Row],[Spender]]="MV",OFFSET(Table2[[#This Row],[MV Balance]],-1,0)-Table2[[#This Row],[Amount]],OFFSET(Table2[[#This Row],[MV Balance]],-1,0))</f>
        <v>10083.730000000001</v>
      </c>
      <c r="G152" s="10">
        <f t="shared" ca="1" si="9"/>
        <v>12750.29</v>
      </c>
    </row>
    <row r="153" spans="1:7" x14ac:dyDescent="0.45">
      <c r="A153" s="1">
        <v>45897</v>
      </c>
      <c r="B153" s="18">
        <v>750</v>
      </c>
      <c r="C153" t="s">
        <v>11</v>
      </c>
      <c r="D153" s="3" t="s">
        <v>116</v>
      </c>
      <c r="E153" s="10">
        <f ca="1">IF(Table2[[#This Row],[Spender]]="YEONG",OFFSET(Table2[[#This Row],[My Actual Balance]],-1,0)-Table2[[#This Row],[Amount]],OFFSET(Table2[[#This Row],[My Actual Balance]],-1,0))</f>
        <v>2666.5599999999995</v>
      </c>
      <c r="F153" s="10">
        <f ca="1">IF(Table2[[#This Row],[Spender]]="MV",OFFSET(Table2[[#This Row],[MV Balance]],-1,0)-Table2[[#This Row],[Amount]],OFFSET(Table2[[#This Row],[MV Balance]],-1,0))</f>
        <v>9333.7300000000014</v>
      </c>
      <c r="G153" s="10">
        <f t="shared" ca="1" si="9"/>
        <v>12000.29</v>
      </c>
    </row>
    <row r="154" spans="1:7" x14ac:dyDescent="0.45">
      <c r="A154" s="1">
        <v>45897</v>
      </c>
      <c r="B154" s="18">
        <v>855</v>
      </c>
      <c r="C154" t="s">
        <v>11</v>
      </c>
      <c r="D154" s="3" t="s">
        <v>118</v>
      </c>
      <c r="E154" s="10">
        <f ca="1">IF(Table2[[#This Row],[Spender]]="YEONG",OFFSET(Table2[[#This Row],[My Actual Balance]],-1,0)-Table2[[#This Row],[Amount]],OFFSET(Table2[[#This Row],[My Actual Balance]],-1,0))</f>
        <v>2666.5599999999995</v>
      </c>
      <c r="F154" s="10">
        <f ca="1">IF(Table2[[#This Row],[Spender]]="MV",OFFSET(Table2[[#This Row],[MV Balance]],-1,0)-Table2[[#This Row],[Amount]],OFFSET(Table2[[#This Row],[MV Balance]],-1,0))</f>
        <v>8478.7300000000014</v>
      </c>
      <c r="G154" s="10">
        <f t="shared" ca="1" si="9"/>
        <v>11145.29</v>
      </c>
    </row>
    <row r="155" spans="1:7" x14ac:dyDescent="0.45">
      <c r="A155" s="1">
        <v>45898</v>
      </c>
      <c r="B155" s="18">
        <v>96</v>
      </c>
      <c r="C155" t="s">
        <v>30</v>
      </c>
      <c r="D155" s="3" t="s">
        <v>120</v>
      </c>
      <c r="E155" s="10">
        <f ca="1">IF(Table2[[#This Row],[Spender]]="YEONG",OFFSET(Table2[[#This Row],[My Actual Balance]],-1,0)-Table2[[#This Row],[Amount]],OFFSET(Table2[[#This Row],[My Actual Balance]],-1,0))</f>
        <v>2570.5599999999995</v>
      </c>
      <c r="F155" s="10">
        <f ca="1">IF(Table2[[#This Row],[Spender]]="MV",OFFSET(Table2[[#This Row],[MV Balance]],-1,0)-Table2[[#This Row],[Amount]],OFFSET(Table2[[#This Row],[MV Balance]],-1,0))</f>
        <v>8478.7300000000014</v>
      </c>
      <c r="G155" s="10">
        <f t="shared" ref="G155:G168" ca="1" si="10">SUM(E155:F155)</f>
        <v>11049.29</v>
      </c>
    </row>
    <row r="156" spans="1:7" x14ac:dyDescent="0.45">
      <c r="A156" s="1">
        <v>45899</v>
      </c>
      <c r="B156" s="18">
        <v>46</v>
      </c>
      <c r="C156" t="s">
        <v>30</v>
      </c>
      <c r="D156" s="3" t="s">
        <v>121</v>
      </c>
      <c r="E156" s="10">
        <f ca="1">IF(Table2[[#This Row],[Spender]]="YEONG",OFFSET(Table2[[#This Row],[My Actual Balance]],-1,0)-Table2[[#This Row],[Amount]],OFFSET(Table2[[#This Row],[My Actual Balance]],-1,0))</f>
        <v>2524.5599999999995</v>
      </c>
      <c r="F156" s="10">
        <f ca="1">IF(Table2[[#This Row],[Spender]]="MV",OFFSET(Table2[[#This Row],[MV Balance]],-1,0)-Table2[[#This Row],[Amount]],OFFSET(Table2[[#This Row],[MV Balance]],-1,0))</f>
        <v>8478.7300000000014</v>
      </c>
      <c r="G156" s="10">
        <f t="shared" ca="1" si="10"/>
        <v>11003.29</v>
      </c>
    </row>
    <row r="157" spans="1:7" x14ac:dyDescent="0.45">
      <c r="A157" s="1">
        <v>45899</v>
      </c>
      <c r="B157" s="18">
        <v>7050</v>
      </c>
      <c r="C157" t="s">
        <v>11</v>
      </c>
      <c r="D157" s="3" t="s">
        <v>123</v>
      </c>
      <c r="E157" s="10">
        <f ca="1">IF(Table2[[#This Row],[Spender]]="YEONG",OFFSET(Table2[[#This Row],[My Actual Balance]],-1,0)-Table2[[#This Row],[Amount]],OFFSET(Table2[[#This Row],[My Actual Balance]],-1,0))</f>
        <v>2524.5599999999995</v>
      </c>
      <c r="F157" s="10">
        <f ca="1">IF(Table2[[#This Row],[Spender]]="MV",OFFSET(Table2[[#This Row],[MV Balance]],-1,0)-Table2[[#This Row],[Amount]],OFFSET(Table2[[#This Row],[MV Balance]],-1,0))</f>
        <v>1428.7300000000014</v>
      </c>
      <c r="G157" s="10">
        <f t="shared" ca="1" si="10"/>
        <v>3953.2900000000009</v>
      </c>
    </row>
    <row r="158" spans="1:7" x14ac:dyDescent="0.45">
      <c r="A158" s="1">
        <v>45902</v>
      </c>
      <c r="B158" s="18">
        <v>-10000</v>
      </c>
      <c r="C158" t="s">
        <v>11</v>
      </c>
      <c r="D158" s="3" t="s">
        <v>15</v>
      </c>
      <c r="E158" s="10">
        <f ca="1">IF(Table2[[#This Row],[Spender]]="YEONG",OFFSET(Table2[[#This Row],[My Actual Balance]],-1,0)-Table2[[#This Row],[Amount]],OFFSET(Table2[[#This Row],[My Actual Balance]],-1,0))</f>
        <v>2524.5599999999995</v>
      </c>
      <c r="F158" s="10">
        <f ca="1">IF(Table2[[#This Row],[Spender]]="MV",OFFSET(Table2[[#This Row],[MV Balance]],-1,0)-Table2[[#This Row],[Amount]],OFFSET(Table2[[#This Row],[MV Balance]],-1,0))</f>
        <v>11428.730000000001</v>
      </c>
      <c r="G158" s="10">
        <f t="shared" ca="1" si="10"/>
        <v>13953.29</v>
      </c>
    </row>
    <row r="159" spans="1:7" x14ac:dyDescent="0.45">
      <c r="A159" s="1">
        <v>45903</v>
      </c>
      <c r="B159" s="18">
        <v>3608</v>
      </c>
      <c r="C159" t="s">
        <v>11</v>
      </c>
      <c r="D159" s="3" t="s">
        <v>125</v>
      </c>
      <c r="E159" s="10">
        <f ca="1">IF(Table2[[#This Row],[Spender]]="YEONG",OFFSET(Table2[[#This Row],[My Actual Balance]],-1,0)-Table2[[#This Row],[Amount]],OFFSET(Table2[[#This Row],[My Actual Balance]],-1,0))</f>
        <v>2524.5599999999995</v>
      </c>
      <c r="F159" s="10">
        <f ca="1">IF(Table2[[#This Row],[Spender]]="MV",OFFSET(Table2[[#This Row],[MV Balance]],-1,0)-Table2[[#This Row],[Amount]],OFFSET(Table2[[#This Row],[MV Balance]],-1,0))</f>
        <v>7820.7300000000014</v>
      </c>
      <c r="G159" s="10">
        <f t="shared" ca="1" si="10"/>
        <v>10345.290000000001</v>
      </c>
    </row>
    <row r="160" spans="1:7" x14ac:dyDescent="0.45">
      <c r="A160" s="1">
        <v>45904</v>
      </c>
      <c r="B160" s="18">
        <v>18.100000000000001</v>
      </c>
      <c r="C160" t="s">
        <v>30</v>
      </c>
      <c r="D160" s="3" t="s">
        <v>127</v>
      </c>
      <c r="E160" s="10">
        <f ca="1">IF(Table2[[#This Row],[Spender]]="YEONG",OFFSET(Table2[[#This Row],[My Actual Balance]],-1,0)-Table2[[#This Row],[Amount]],OFFSET(Table2[[#This Row],[My Actual Balance]],-1,0))</f>
        <v>2506.4599999999996</v>
      </c>
      <c r="F160" s="10">
        <f ca="1">IF(Table2[[#This Row],[Spender]]="MV",OFFSET(Table2[[#This Row],[MV Balance]],-1,0)-Table2[[#This Row],[Amount]],OFFSET(Table2[[#This Row],[MV Balance]],-1,0))</f>
        <v>7820.7300000000014</v>
      </c>
      <c r="G160" s="10">
        <f t="shared" ca="1" si="10"/>
        <v>10327.19</v>
      </c>
    </row>
    <row r="161" spans="1:7" x14ac:dyDescent="0.45">
      <c r="A161" s="1">
        <v>45905</v>
      </c>
      <c r="B161" s="18">
        <v>543</v>
      </c>
      <c r="C161" t="s">
        <v>11</v>
      </c>
      <c r="D161" s="3" t="s">
        <v>129</v>
      </c>
      <c r="E161" s="10">
        <f ca="1">IF(Table2[[#This Row],[Spender]]="YEONG",OFFSET(Table2[[#This Row],[My Actual Balance]],-1,0)-Table2[[#This Row],[Amount]],OFFSET(Table2[[#This Row],[My Actual Balance]],-1,0))</f>
        <v>2506.4599999999996</v>
      </c>
      <c r="F161" s="10">
        <f ca="1">IF(Table2[[#This Row],[Spender]]="MV",OFFSET(Table2[[#This Row],[MV Balance]],-1,0)-Table2[[#This Row],[Amount]],OFFSET(Table2[[#This Row],[MV Balance]],-1,0))</f>
        <v>7277.7300000000014</v>
      </c>
      <c r="G161" s="10">
        <f t="shared" ca="1" si="10"/>
        <v>9784.19</v>
      </c>
    </row>
    <row r="162" spans="1:7" x14ac:dyDescent="0.45">
      <c r="A162" s="1">
        <v>45905</v>
      </c>
      <c r="B162" s="18">
        <v>1050</v>
      </c>
      <c r="C162" t="s">
        <v>11</v>
      </c>
      <c r="D162" s="3" t="s">
        <v>131</v>
      </c>
      <c r="E162" s="10">
        <f ca="1">IF(Table2[[#This Row],[Spender]]="YEONG",OFFSET(Table2[[#This Row],[My Actual Balance]],-1,0)-Table2[[#This Row],[Amount]],OFFSET(Table2[[#This Row],[My Actual Balance]],-1,0))</f>
        <v>2506.4599999999996</v>
      </c>
      <c r="F162" s="10">
        <f ca="1">IF(Table2[[#This Row],[Spender]]="MV",OFFSET(Table2[[#This Row],[MV Balance]],-1,0)-Table2[[#This Row],[Amount]],OFFSET(Table2[[#This Row],[MV Balance]],-1,0))</f>
        <v>6227.7300000000014</v>
      </c>
      <c r="G162" s="10">
        <f t="shared" ca="1" si="10"/>
        <v>8734.19</v>
      </c>
    </row>
    <row r="163" spans="1:7" x14ac:dyDescent="0.45">
      <c r="A163" s="1">
        <v>45905</v>
      </c>
      <c r="B163" s="18">
        <v>311</v>
      </c>
      <c r="C163" t="s">
        <v>11</v>
      </c>
      <c r="D163" s="3" t="s">
        <v>133</v>
      </c>
      <c r="E163" s="10">
        <f ca="1">IF(Table2[[#This Row],[Spender]]="YEONG",OFFSET(Table2[[#This Row],[My Actual Balance]],-1,0)-Table2[[#This Row],[Amount]],OFFSET(Table2[[#This Row],[My Actual Balance]],-1,0))</f>
        <v>2506.4599999999996</v>
      </c>
      <c r="F163" s="10">
        <f ca="1">IF(Table2[[#This Row],[Spender]]="MV",OFFSET(Table2[[#This Row],[MV Balance]],-1,0)-Table2[[#This Row],[Amount]],OFFSET(Table2[[#This Row],[MV Balance]],-1,0))</f>
        <v>5916.7300000000014</v>
      </c>
      <c r="G163" s="10">
        <f t="shared" ca="1" si="10"/>
        <v>8423.19</v>
      </c>
    </row>
    <row r="164" spans="1:7" x14ac:dyDescent="0.45">
      <c r="A164" s="1">
        <v>45910</v>
      </c>
      <c r="B164" s="18">
        <v>719</v>
      </c>
      <c r="C164" t="s">
        <v>11</v>
      </c>
      <c r="D164" s="3" t="s">
        <v>135</v>
      </c>
      <c r="E164" s="10">
        <f ca="1">IF(Table2[[#This Row],[Spender]]="YEONG",OFFSET(Table2[[#This Row],[My Actual Balance]],-1,0)-Table2[[#This Row],[Amount]],OFFSET(Table2[[#This Row],[My Actual Balance]],-1,0))</f>
        <v>2506.4599999999996</v>
      </c>
      <c r="F164" s="10">
        <f ca="1">IF(Table2[[#This Row],[Spender]]="MV",OFFSET(Table2[[#This Row],[MV Balance]],-1,0)-Table2[[#This Row],[Amount]],OFFSET(Table2[[#This Row],[MV Balance]],-1,0))</f>
        <v>5197.7300000000014</v>
      </c>
      <c r="G164" s="10">
        <f t="shared" ca="1" si="10"/>
        <v>7704.1900000000005</v>
      </c>
    </row>
    <row r="165" spans="1:7" x14ac:dyDescent="0.45">
      <c r="A165" s="1">
        <v>45910</v>
      </c>
      <c r="B165" s="18">
        <v>1040</v>
      </c>
      <c r="C165" t="s">
        <v>11</v>
      </c>
      <c r="D165" s="3" t="s">
        <v>137</v>
      </c>
      <c r="E165" s="10">
        <f ca="1">IF(Table2[[#This Row],[Spender]]="YEONG",OFFSET(Table2[[#This Row],[My Actual Balance]],-1,0)-Table2[[#This Row],[Amount]],OFFSET(Table2[[#This Row],[My Actual Balance]],-1,0))</f>
        <v>2506.4599999999996</v>
      </c>
      <c r="F165" s="10">
        <f ca="1">IF(Table2[[#This Row],[Spender]]="MV",OFFSET(Table2[[#This Row],[MV Balance]],-1,0)-Table2[[#This Row],[Amount]],OFFSET(Table2[[#This Row],[MV Balance]],-1,0))</f>
        <v>4157.7300000000014</v>
      </c>
      <c r="G165" s="10">
        <f t="shared" ca="1" si="10"/>
        <v>6664.1900000000005</v>
      </c>
    </row>
    <row r="166" spans="1:7" x14ac:dyDescent="0.45">
      <c r="A166" s="1">
        <v>45912</v>
      </c>
      <c r="B166" s="18">
        <v>250</v>
      </c>
      <c r="C166" t="s">
        <v>11</v>
      </c>
      <c r="D166" s="3" t="s">
        <v>139</v>
      </c>
      <c r="E166" s="10">
        <f ca="1">IF(Table2[[#This Row],[Spender]]="YEONG",OFFSET(Table2[[#This Row],[My Actual Balance]],-1,0)-Table2[[#This Row],[Amount]],OFFSET(Table2[[#This Row],[My Actual Balance]],-1,0))</f>
        <v>2506.4599999999996</v>
      </c>
      <c r="F166" s="10">
        <f ca="1">IF(Table2[[#This Row],[Spender]]="MV",OFFSET(Table2[[#This Row],[MV Balance]],-1,0)-Table2[[#This Row],[Amount]],OFFSET(Table2[[#This Row],[MV Balance]],-1,0))</f>
        <v>3907.7300000000014</v>
      </c>
      <c r="G166" s="10">
        <f t="shared" ca="1" si="10"/>
        <v>6414.1900000000005</v>
      </c>
    </row>
    <row r="167" spans="1:7" x14ac:dyDescent="0.45">
      <c r="A167" s="1">
        <v>45912</v>
      </c>
      <c r="B167" s="18">
        <v>878.63</v>
      </c>
      <c r="C167" t="s">
        <v>11</v>
      </c>
      <c r="D167" s="3" t="s">
        <v>141</v>
      </c>
      <c r="E167" s="10">
        <f ca="1">IF(Table2[[#This Row],[Spender]]="YEONG",OFFSET(Table2[[#This Row],[My Actual Balance]],-1,0)-Table2[[#This Row],[Amount]],OFFSET(Table2[[#This Row],[My Actual Balance]],-1,0))</f>
        <v>2506.4599999999996</v>
      </c>
      <c r="F167" s="10">
        <f ca="1">IF(Table2[[#This Row],[Spender]]="MV",OFFSET(Table2[[#This Row],[MV Balance]],-1,0)-Table2[[#This Row],[Amount]],OFFSET(Table2[[#This Row],[MV Balance]],-1,0))</f>
        <v>3029.1000000000013</v>
      </c>
      <c r="G167" s="10">
        <f t="shared" ca="1" si="10"/>
        <v>5535.5600000000013</v>
      </c>
    </row>
    <row r="168" spans="1:7" x14ac:dyDescent="0.45">
      <c r="A168" s="1">
        <v>45919</v>
      </c>
      <c r="B168" s="18">
        <v>940</v>
      </c>
      <c r="C168" t="s">
        <v>11</v>
      </c>
      <c r="D168" s="3" t="s">
        <v>143</v>
      </c>
      <c r="E168" s="10">
        <f ca="1">IF(Table2[[#This Row],[Spender]]="YEONG",OFFSET(Table2[[#This Row],[My Actual Balance]],-1,0)-Table2[[#This Row],[Amount]],OFFSET(Table2[[#This Row],[My Actual Balance]],-1,0))</f>
        <v>2506.4599999999996</v>
      </c>
      <c r="F168" s="10">
        <f ca="1">IF(Table2[[#This Row],[Spender]]="MV",OFFSET(Table2[[#This Row],[MV Balance]],-1,0)-Table2[[#This Row],[Amount]],OFFSET(Table2[[#This Row],[MV Balance]],-1,0))</f>
        <v>2089.1000000000013</v>
      </c>
      <c r="G168" s="10">
        <f t="shared" ca="1" si="10"/>
        <v>4595.5600000000013</v>
      </c>
    </row>
    <row r="169" spans="1:7" x14ac:dyDescent="0.45">
      <c r="A169" s="1">
        <v>45922</v>
      </c>
      <c r="B169" s="18">
        <v>743</v>
      </c>
      <c r="C169" t="s">
        <v>11</v>
      </c>
      <c r="D169" s="3" t="s">
        <v>145</v>
      </c>
      <c r="E169" s="10">
        <f ca="1">IF(Table2[[#This Row],[Spender]]="YEONG",OFFSET(Table2[[#This Row],[My Actual Balance]],-1,0)-Table2[[#This Row],[Amount]],OFFSET(Table2[[#This Row],[My Actual Balance]],-1,0))</f>
        <v>2506.4599999999996</v>
      </c>
      <c r="F169" s="10">
        <f ca="1">IF(Table2[[#This Row],[Spender]]="MV",OFFSET(Table2[[#This Row],[MV Balance]],-1,0)-Table2[[#This Row],[Amount]],OFFSET(Table2[[#This Row],[MV Balance]],-1,0))</f>
        <v>1346.1000000000013</v>
      </c>
      <c r="G169" s="10">
        <f t="shared" ref="G169:G174" ca="1" si="11">SUM(E169:F169)</f>
        <v>3852.5600000000009</v>
      </c>
    </row>
    <row r="170" spans="1:7" x14ac:dyDescent="0.45">
      <c r="A170" s="1">
        <v>45924</v>
      </c>
      <c r="B170" s="18">
        <v>1206</v>
      </c>
      <c r="C170" t="s">
        <v>11</v>
      </c>
      <c r="D170" s="3" t="s">
        <v>147</v>
      </c>
      <c r="E170" s="10">
        <f ca="1">IF(Table2[[#This Row],[Spender]]="YEONG",OFFSET(Table2[[#This Row],[My Actual Balance]],-1,0)-Table2[[#This Row],[Amount]],OFFSET(Table2[[#This Row],[My Actual Balance]],-1,0))</f>
        <v>2506.4599999999996</v>
      </c>
      <c r="F170" s="10">
        <f ca="1">IF(Table2[[#This Row],[Spender]]="MV",OFFSET(Table2[[#This Row],[MV Balance]],-1,0)-Table2[[#This Row],[Amount]],OFFSET(Table2[[#This Row],[MV Balance]],-1,0))</f>
        <v>140.10000000000127</v>
      </c>
      <c r="G170" s="10">
        <f t="shared" ca="1" si="11"/>
        <v>2646.5600000000009</v>
      </c>
    </row>
    <row r="171" spans="1:7" x14ac:dyDescent="0.45">
      <c r="A171" s="1">
        <v>45924</v>
      </c>
      <c r="B171" s="18">
        <v>-1.37</v>
      </c>
      <c r="C171" t="s">
        <v>30</v>
      </c>
      <c r="D171" s="3" t="s">
        <v>247</v>
      </c>
      <c r="E171" s="10">
        <f ca="1">IF(Table2[[#This Row],[Spender]]="YEONG",OFFSET(Table2[[#This Row],[My Actual Balance]],-1,0)-Table2[[#This Row],[Amount]],OFFSET(Table2[[#This Row],[My Actual Balance]],-1,0))</f>
        <v>2507.8299999999995</v>
      </c>
      <c r="F171" s="10">
        <f ca="1">IF(Table2[[#This Row],[Spender]]="MV",OFFSET(Table2[[#This Row],[MV Balance]],-1,0)-Table2[[#This Row],[Amount]],OFFSET(Table2[[#This Row],[MV Balance]],-1,0))</f>
        <v>140.10000000000127</v>
      </c>
      <c r="G171" s="10">
        <f t="shared" ca="1" si="11"/>
        <v>2647.9300000000007</v>
      </c>
    </row>
    <row r="172" spans="1:7" x14ac:dyDescent="0.45">
      <c r="A172" s="1">
        <v>45925</v>
      </c>
      <c r="B172" s="18">
        <v>-10000</v>
      </c>
      <c r="C172" t="s">
        <v>11</v>
      </c>
      <c r="D172" s="3" t="s">
        <v>15</v>
      </c>
      <c r="E172" s="10">
        <f ca="1">IF(Table2[[#This Row],[Spender]]="YEONG",OFFSET(Table2[[#This Row],[My Actual Balance]],-1,0)-Table2[[#This Row],[Amount]],OFFSET(Table2[[#This Row],[My Actual Balance]],-1,0))</f>
        <v>2507.8299999999995</v>
      </c>
      <c r="F172" s="10">
        <f ca="1">IF(Table2[[#This Row],[Spender]]="MV",OFFSET(Table2[[#This Row],[MV Balance]],-1,0)-Table2[[#This Row],[Amount]],OFFSET(Table2[[#This Row],[MV Balance]],-1,0))</f>
        <v>10140.100000000002</v>
      </c>
      <c r="G172" s="10">
        <f t="shared" ca="1" si="11"/>
        <v>12647.930000000002</v>
      </c>
    </row>
    <row r="173" spans="1:7" x14ac:dyDescent="0.45">
      <c r="A173" s="1">
        <v>45925</v>
      </c>
      <c r="B173" s="18">
        <v>447</v>
      </c>
      <c r="C173" t="s">
        <v>11</v>
      </c>
      <c r="D173" s="3" t="s">
        <v>149</v>
      </c>
      <c r="E173" s="10">
        <f ca="1">IF(Table2[[#This Row],[Spender]]="YEONG",OFFSET(Table2[[#This Row],[My Actual Balance]],-1,0)-Table2[[#This Row],[Amount]],OFFSET(Table2[[#This Row],[My Actual Balance]],-1,0))</f>
        <v>2507.8299999999995</v>
      </c>
      <c r="F173" s="10">
        <f ca="1">IF(Table2[[#This Row],[Spender]]="MV",OFFSET(Table2[[#This Row],[MV Balance]],-1,0)-Table2[[#This Row],[Amount]],OFFSET(Table2[[#This Row],[MV Balance]],-1,0))</f>
        <v>9693.1000000000022</v>
      </c>
      <c r="G173" s="10">
        <f t="shared" ca="1" si="11"/>
        <v>12200.930000000002</v>
      </c>
    </row>
    <row r="174" spans="1:7" x14ac:dyDescent="0.45">
      <c r="A174" s="1">
        <v>45925</v>
      </c>
      <c r="B174" s="18">
        <v>4220</v>
      </c>
      <c r="C174" t="s">
        <v>11</v>
      </c>
      <c r="D174" s="3" t="s">
        <v>151</v>
      </c>
      <c r="E174" s="10">
        <f ca="1">IF(Table2[[#This Row],[Spender]]="YEONG",OFFSET(Table2[[#This Row],[My Actual Balance]],-1,0)-Table2[[#This Row],[Amount]],OFFSET(Table2[[#This Row],[My Actual Balance]],-1,0))</f>
        <v>2507.8299999999995</v>
      </c>
      <c r="F174" s="10">
        <f ca="1">IF(Table2[[#This Row],[Spender]]="MV",OFFSET(Table2[[#This Row],[MV Balance]],-1,0)-Table2[[#This Row],[Amount]],OFFSET(Table2[[#This Row],[MV Balance]],-1,0))</f>
        <v>5473.1000000000022</v>
      </c>
      <c r="G174" s="10">
        <f t="shared" ca="1" si="11"/>
        <v>7980.9300000000021</v>
      </c>
    </row>
    <row r="175" spans="1:7" x14ac:dyDescent="0.45">
      <c r="A175" s="1">
        <v>45927</v>
      </c>
      <c r="B175" s="18">
        <v>1040</v>
      </c>
      <c r="C175" t="s">
        <v>11</v>
      </c>
      <c r="D175" t="s">
        <v>259</v>
      </c>
      <c r="E175" s="10">
        <f ca="1">IF(Table2[[#This Row],[Spender]]="YEONG",OFFSET(Table2[[#This Row],[My Actual Balance]],-1,0)-Table2[[#This Row],[Amount]],OFFSET(Table2[[#This Row],[My Actual Balance]],-1,0))</f>
        <v>2507.8299999999995</v>
      </c>
      <c r="F175" s="10">
        <f ca="1">IF(Table2[[#This Row],[Spender]]="MV",OFFSET(Table2[[#This Row],[MV Balance]],-1,0)-Table2[[#This Row],[Amount]],OFFSET(Table2[[#This Row],[MV Balance]],-1,0))</f>
        <v>4433.1000000000022</v>
      </c>
      <c r="G175" s="10">
        <f t="shared" ref="G175:G177" ca="1" si="12">SUM(E175:F175)</f>
        <v>6940.9300000000021</v>
      </c>
    </row>
    <row r="176" spans="1:7" x14ac:dyDescent="0.45">
      <c r="A176" s="1">
        <v>45927</v>
      </c>
      <c r="B176" s="18">
        <v>825</v>
      </c>
      <c r="C176" t="s">
        <v>11</v>
      </c>
      <c r="D176" t="s">
        <v>260</v>
      </c>
      <c r="E176" s="10">
        <f ca="1">IF(Table2[[#This Row],[Spender]]="YEONG",OFFSET(Table2[[#This Row],[My Actual Balance]],-1,0)-Table2[[#This Row],[Amount]],OFFSET(Table2[[#This Row],[My Actual Balance]],-1,0))</f>
        <v>2507.8299999999995</v>
      </c>
      <c r="F176" s="10">
        <f ca="1">IF(Table2[[#This Row],[Spender]]="MV",OFFSET(Table2[[#This Row],[MV Balance]],-1,0)-Table2[[#This Row],[Amount]],OFFSET(Table2[[#This Row],[MV Balance]],-1,0))</f>
        <v>3608.1000000000022</v>
      </c>
      <c r="G176" s="10">
        <f t="shared" ca="1" si="12"/>
        <v>6115.9300000000021</v>
      </c>
    </row>
    <row r="177" spans="1:7" x14ac:dyDescent="0.45">
      <c r="A177" s="1">
        <v>45927</v>
      </c>
      <c r="B177" s="18">
        <v>575</v>
      </c>
      <c r="C177" t="s">
        <v>11</v>
      </c>
      <c r="D177" t="s">
        <v>261</v>
      </c>
      <c r="E177" s="10">
        <f ca="1">IF(Table2[[#This Row],[Spender]]="YEONG",OFFSET(Table2[[#This Row],[My Actual Balance]],-1,0)-Table2[[#This Row],[Amount]],OFFSET(Table2[[#This Row],[My Actual Balance]],-1,0))</f>
        <v>2507.8299999999995</v>
      </c>
      <c r="F177" s="10">
        <f ca="1">IF(Table2[[#This Row],[Spender]]="MV",OFFSET(Table2[[#This Row],[MV Balance]],-1,0)-Table2[[#This Row],[Amount]],OFFSET(Table2[[#This Row],[MV Balance]],-1,0))</f>
        <v>3033.1000000000022</v>
      </c>
      <c r="G177" s="10">
        <f t="shared" ca="1" si="12"/>
        <v>5540.9300000000021</v>
      </c>
    </row>
    <row r="178" spans="1:7" x14ac:dyDescent="0.45">
      <c r="A178" s="1">
        <v>45940</v>
      </c>
      <c r="B178" s="18">
        <v>3000</v>
      </c>
      <c r="C178" t="s">
        <v>11</v>
      </c>
      <c r="D178" s="3" t="s">
        <v>153</v>
      </c>
      <c r="E178" s="10">
        <f ca="1">IF(Table2[[#This Row],[Spender]]="YEONG",OFFSET(Table2[[#This Row],[My Actual Balance]],-1,0)-Table2[[#This Row],[Amount]],OFFSET(Table2[[#This Row],[My Actual Balance]],-1,0))</f>
        <v>2507.8299999999995</v>
      </c>
      <c r="F178" s="10">
        <f ca="1">IF(Table2[[#This Row],[Spender]]="MV",OFFSET(Table2[[#This Row],[MV Balance]],-1,0)-Table2[[#This Row],[Amount]],OFFSET(Table2[[#This Row],[MV Balance]],-1,0))</f>
        <v>33.100000000002183</v>
      </c>
      <c r="G178" s="10">
        <f t="shared" ref="G178:G185" ca="1" si="13">SUM(E178:F178)</f>
        <v>2540.9300000000017</v>
      </c>
    </row>
    <row r="179" spans="1:7" x14ac:dyDescent="0.45">
      <c r="A179" s="1">
        <v>45940</v>
      </c>
      <c r="B179" s="18">
        <v>-10000</v>
      </c>
      <c r="C179" t="s">
        <v>11</v>
      </c>
      <c r="D179" s="3" t="s">
        <v>82</v>
      </c>
      <c r="E179" s="10">
        <f ca="1">IF(Table2[[#This Row],[Spender]]="YEONG",OFFSET(Table2[[#This Row],[My Actual Balance]],-1,0)-Table2[[#This Row],[Amount]],OFFSET(Table2[[#This Row],[My Actual Balance]],-1,0))</f>
        <v>2507.8299999999995</v>
      </c>
      <c r="F179" s="10">
        <f ca="1">IF(Table2[[#This Row],[Spender]]="MV",OFFSET(Table2[[#This Row],[MV Balance]],-1,0)-Table2[[#This Row],[Amount]],OFFSET(Table2[[#This Row],[MV Balance]],-1,0))</f>
        <v>10033.100000000002</v>
      </c>
      <c r="G179" s="10">
        <f t="shared" ca="1" si="13"/>
        <v>12540.930000000002</v>
      </c>
    </row>
    <row r="180" spans="1:7" x14ac:dyDescent="0.45">
      <c r="A180" s="1">
        <v>45942</v>
      </c>
      <c r="B180" s="18">
        <v>880</v>
      </c>
      <c r="C180" t="s">
        <v>11</v>
      </c>
      <c r="D180" s="3" t="s">
        <v>155</v>
      </c>
      <c r="E180" s="10">
        <f ca="1">IF(Table2[[#This Row],[Spender]]="YEONG",OFFSET(Table2[[#This Row],[My Actual Balance]],-1,0)-Table2[[#This Row],[Amount]],OFFSET(Table2[[#This Row],[My Actual Balance]],-1,0))</f>
        <v>2507.8299999999995</v>
      </c>
      <c r="F180" s="10">
        <f ca="1">IF(Table2[[#This Row],[Spender]]="MV",OFFSET(Table2[[#This Row],[MV Balance]],-1,0)-Table2[[#This Row],[Amount]],OFFSET(Table2[[#This Row],[MV Balance]],-1,0))</f>
        <v>9153.1000000000022</v>
      </c>
      <c r="G180" s="10">
        <f t="shared" ca="1" si="13"/>
        <v>11660.930000000002</v>
      </c>
    </row>
    <row r="181" spans="1:7" x14ac:dyDescent="0.45">
      <c r="A181" s="1">
        <v>45943</v>
      </c>
      <c r="B181" s="18">
        <v>2900</v>
      </c>
      <c r="C181" t="s">
        <v>11</v>
      </c>
      <c r="D181" s="3" t="s">
        <v>157</v>
      </c>
      <c r="E181" s="10">
        <f ca="1">IF(Table2[[#This Row],[Spender]]="YEONG",OFFSET(Table2[[#This Row],[My Actual Balance]],-1,0)-Table2[[#This Row],[Amount]],OFFSET(Table2[[#This Row],[My Actual Balance]],-1,0))</f>
        <v>2507.8299999999995</v>
      </c>
      <c r="F181" s="10">
        <f ca="1">IF(Table2[[#This Row],[Spender]]="MV",OFFSET(Table2[[#This Row],[MV Balance]],-1,0)-Table2[[#This Row],[Amount]],OFFSET(Table2[[#This Row],[MV Balance]],-1,0))</f>
        <v>6253.1000000000022</v>
      </c>
      <c r="G181" s="10">
        <f t="shared" ca="1" si="13"/>
        <v>8760.9300000000021</v>
      </c>
    </row>
    <row r="182" spans="1:7" x14ac:dyDescent="0.45">
      <c r="A182" s="1">
        <v>45943</v>
      </c>
      <c r="B182" s="18">
        <v>1894.9</v>
      </c>
      <c r="C182" t="s">
        <v>11</v>
      </c>
      <c r="D182" s="3" t="s">
        <v>158</v>
      </c>
      <c r="E182" s="10">
        <f ca="1">IF(Table2[[#This Row],[Spender]]="YEONG",OFFSET(Table2[[#This Row],[My Actual Balance]],-1,0)-Table2[[#This Row],[Amount]],OFFSET(Table2[[#This Row],[My Actual Balance]],-1,0))</f>
        <v>2507.8299999999995</v>
      </c>
      <c r="F182" s="10">
        <f ca="1">IF(Table2[[#This Row],[Spender]]="MV",OFFSET(Table2[[#This Row],[MV Balance]],-1,0)-Table2[[#This Row],[Amount]],OFFSET(Table2[[#This Row],[MV Balance]],-1,0))</f>
        <v>4358.2000000000025</v>
      </c>
      <c r="G182" s="10">
        <f t="shared" ca="1" si="13"/>
        <v>6866.0300000000025</v>
      </c>
    </row>
    <row r="183" spans="1:7" x14ac:dyDescent="0.45">
      <c r="A183" s="1">
        <v>45944</v>
      </c>
      <c r="B183" s="18">
        <v>860</v>
      </c>
      <c r="C183" t="s">
        <v>11</v>
      </c>
      <c r="D183" s="3" t="s">
        <v>160</v>
      </c>
      <c r="E183" s="10">
        <f ca="1">IF(Table2[[#This Row],[Spender]]="YEONG",OFFSET(Table2[[#This Row],[My Actual Balance]],-1,0)-Table2[[#This Row],[Amount]],OFFSET(Table2[[#This Row],[My Actual Balance]],-1,0))</f>
        <v>2507.8299999999995</v>
      </c>
      <c r="F183" s="10">
        <f ca="1">IF(Table2[[#This Row],[Spender]]="MV",OFFSET(Table2[[#This Row],[MV Balance]],-1,0)-Table2[[#This Row],[Amount]],OFFSET(Table2[[#This Row],[MV Balance]],-1,0))</f>
        <v>3498.2000000000025</v>
      </c>
      <c r="G183" s="10">
        <f t="shared" ca="1" si="13"/>
        <v>6006.0300000000025</v>
      </c>
    </row>
    <row r="184" spans="1:7" x14ac:dyDescent="0.45">
      <c r="A184" s="1">
        <v>45944</v>
      </c>
      <c r="B184" s="18">
        <v>1040</v>
      </c>
      <c r="C184" t="s">
        <v>11</v>
      </c>
      <c r="D184" s="3" t="s">
        <v>161</v>
      </c>
      <c r="E184" s="10">
        <f ca="1">IF(Table2[[#This Row],[Spender]]="YEONG",OFFSET(Table2[[#This Row],[My Actual Balance]],-1,0)-Table2[[#This Row],[Amount]],OFFSET(Table2[[#This Row],[My Actual Balance]],-1,0))</f>
        <v>2507.8299999999995</v>
      </c>
      <c r="F184" s="10">
        <f ca="1">IF(Table2[[#This Row],[Spender]]="MV",OFFSET(Table2[[#This Row],[MV Balance]],-1,0)-Table2[[#This Row],[Amount]],OFFSET(Table2[[#This Row],[MV Balance]],-1,0))</f>
        <v>2458.2000000000025</v>
      </c>
      <c r="G184" s="10">
        <f t="shared" ca="1" si="13"/>
        <v>4966.0300000000025</v>
      </c>
    </row>
    <row r="185" spans="1:7" x14ac:dyDescent="0.45">
      <c r="A185" s="1">
        <v>45945</v>
      </c>
      <c r="B185" s="18">
        <v>3252.9</v>
      </c>
      <c r="C185" t="s">
        <v>11</v>
      </c>
      <c r="D185" s="3" t="s">
        <v>163</v>
      </c>
      <c r="E185" s="10">
        <f ca="1">IF(Table2[[#This Row],[Spender]]="YEONG",OFFSET(Table2[[#This Row],[My Actual Balance]],-1,0)-Table2[[#This Row],[Amount]],OFFSET(Table2[[#This Row],[My Actual Balance]],-1,0))</f>
        <v>2507.8299999999995</v>
      </c>
      <c r="F185" s="10">
        <f ca="1">IF(Table2[[#This Row],[Spender]]="MV",OFFSET(Table2[[#This Row],[MV Balance]],-1,0)-Table2[[#This Row],[Amount]],OFFSET(Table2[[#This Row],[MV Balance]],-1,0))</f>
        <v>-794.69999999999754</v>
      </c>
      <c r="G185" s="10">
        <f t="shared" ca="1" si="13"/>
        <v>1713.1300000000019</v>
      </c>
    </row>
    <row r="186" spans="1:7" x14ac:dyDescent="0.45">
      <c r="A186" s="1">
        <v>45946</v>
      </c>
      <c r="B186" s="18">
        <v>14.25</v>
      </c>
      <c r="C186" t="s">
        <v>30</v>
      </c>
      <c r="D186" s="3" t="s">
        <v>68</v>
      </c>
      <c r="E186" s="10">
        <f ca="1">IF(Table2[[#This Row],[Spender]]="YEONG",OFFSET(Table2[[#This Row],[My Actual Balance]],-1,0)-Table2[[#This Row],[Amount]],OFFSET(Table2[[#This Row],[My Actual Balance]],-1,0))</f>
        <v>2493.5799999999995</v>
      </c>
      <c r="F186" s="10">
        <f ca="1">IF(Table2[[#This Row],[Spender]]="MV",OFFSET(Table2[[#This Row],[MV Balance]],-1,0)-Table2[[#This Row],[Amount]],OFFSET(Table2[[#This Row],[MV Balance]],-1,0))</f>
        <v>-794.69999999999754</v>
      </c>
      <c r="G186" s="10">
        <f t="shared" ref="G186:G191" ca="1" si="14">SUM(E186:F186)</f>
        <v>1698.8800000000019</v>
      </c>
    </row>
    <row r="187" spans="1:7" x14ac:dyDescent="0.45">
      <c r="A187" s="1">
        <v>45946</v>
      </c>
      <c r="B187" s="18">
        <v>-10000</v>
      </c>
      <c r="C187" t="s">
        <v>11</v>
      </c>
      <c r="D187" s="3" t="s">
        <v>15</v>
      </c>
      <c r="E187" s="10">
        <f ca="1">IF(Table2[[#This Row],[Spender]]="YEONG",OFFSET(Table2[[#This Row],[My Actual Balance]],-1,0)-Table2[[#This Row],[Amount]],OFFSET(Table2[[#This Row],[My Actual Balance]],-1,0))</f>
        <v>2493.5799999999995</v>
      </c>
      <c r="F187" s="10">
        <f ca="1">IF(Table2[[#This Row],[Spender]]="MV",OFFSET(Table2[[#This Row],[MV Balance]],-1,0)-Table2[[#This Row],[Amount]],OFFSET(Table2[[#This Row],[MV Balance]],-1,0))</f>
        <v>9205.3000000000029</v>
      </c>
      <c r="G187" s="10">
        <f t="shared" ca="1" si="14"/>
        <v>11698.880000000003</v>
      </c>
    </row>
    <row r="188" spans="1:7" x14ac:dyDescent="0.45">
      <c r="A188" s="1">
        <v>45946</v>
      </c>
      <c r="B188" s="18">
        <v>5054.2</v>
      </c>
      <c r="C188" t="s">
        <v>11</v>
      </c>
      <c r="D188" s="3" t="s">
        <v>166</v>
      </c>
      <c r="E188" s="10">
        <f ca="1">IF(Table2[[#This Row],[Spender]]="YEONG",OFFSET(Table2[[#This Row],[My Actual Balance]],-1,0)-Table2[[#This Row],[Amount]],OFFSET(Table2[[#This Row],[My Actual Balance]],-1,0))</f>
        <v>2493.5799999999995</v>
      </c>
      <c r="F188" s="10">
        <f ca="1">IF(Table2[[#This Row],[Spender]]="MV",OFFSET(Table2[[#This Row],[MV Balance]],-1,0)-Table2[[#This Row],[Amount]],OFFSET(Table2[[#This Row],[MV Balance]],-1,0))</f>
        <v>4151.1000000000031</v>
      </c>
      <c r="G188" s="10">
        <f t="shared" ca="1" si="14"/>
        <v>6644.6800000000021</v>
      </c>
    </row>
    <row r="189" spans="1:7" x14ac:dyDescent="0.45">
      <c r="A189" s="1">
        <v>45947</v>
      </c>
      <c r="B189" s="18">
        <v>1161</v>
      </c>
      <c r="C189" t="s">
        <v>11</v>
      </c>
      <c r="D189" s="3" t="s">
        <v>168</v>
      </c>
      <c r="E189" s="10">
        <f ca="1">IF(Table2[[#This Row],[Spender]]="YEONG",OFFSET(Table2[[#This Row],[My Actual Balance]],-1,0)-Table2[[#This Row],[Amount]],OFFSET(Table2[[#This Row],[My Actual Balance]],-1,0))</f>
        <v>2493.5799999999995</v>
      </c>
      <c r="F189" s="10">
        <f ca="1">IF(Table2[[#This Row],[Spender]]="MV",OFFSET(Table2[[#This Row],[MV Balance]],-1,0)-Table2[[#This Row],[Amount]],OFFSET(Table2[[#This Row],[MV Balance]],-1,0))</f>
        <v>2990.1000000000031</v>
      </c>
      <c r="G189" s="10">
        <f t="shared" ca="1" si="14"/>
        <v>5483.6800000000021</v>
      </c>
    </row>
    <row r="190" spans="1:7" x14ac:dyDescent="0.45">
      <c r="A190" s="1">
        <v>45952</v>
      </c>
      <c r="B190" s="18">
        <v>703</v>
      </c>
      <c r="C190" t="s">
        <v>11</v>
      </c>
      <c r="D190" s="3" t="s">
        <v>170</v>
      </c>
      <c r="E190" s="10">
        <f ca="1">IF(Table2[[#This Row],[Spender]]="YEONG",OFFSET(Table2[[#This Row],[My Actual Balance]],-1,0)-Table2[[#This Row],[Amount]],OFFSET(Table2[[#This Row],[My Actual Balance]],-1,0))</f>
        <v>2493.5799999999995</v>
      </c>
      <c r="F190" s="10">
        <f ca="1">IF(Table2[[#This Row],[Spender]]="MV",OFFSET(Table2[[#This Row],[MV Balance]],-1,0)-Table2[[#This Row],[Amount]],OFFSET(Table2[[#This Row],[MV Balance]],-1,0))</f>
        <v>2287.1000000000031</v>
      </c>
      <c r="G190" s="10">
        <f t="shared" ca="1" si="14"/>
        <v>4780.6800000000021</v>
      </c>
    </row>
    <row r="191" spans="1:7" x14ac:dyDescent="0.45">
      <c r="A191" s="1">
        <v>45954</v>
      </c>
      <c r="B191" s="18">
        <v>-10000</v>
      </c>
      <c r="C191" t="s">
        <v>11</v>
      </c>
      <c r="D191" s="3" t="s">
        <v>15</v>
      </c>
      <c r="E191" s="10">
        <f ca="1">IF(Table2[[#This Row],[Spender]]="YEONG",OFFSET(Table2[[#This Row],[My Actual Balance]],-1,0)-Table2[[#This Row],[Amount]],OFFSET(Table2[[#This Row],[My Actual Balance]],-1,0))</f>
        <v>2493.5799999999995</v>
      </c>
      <c r="F191" s="10">
        <f ca="1">IF(Table2[[#This Row],[Spender]]="MV",OFFSET(Table2[[#This Row],[MV Balance]],-1,0)-Table2[[#This Row],[Amount]],OFFSET(Table2[[#This Row],[MV Balance]],-1,0))</f>
        <v>12287.100000000002</v>
      </c>
      <c r="G191" s="10">
        <f t="shared" ca="1" si="14"/>
        <v>14780.680000000002</v>
      </c>
    </row>
    <row r="192" spans="1:7" x14ac:dyDescent="0.45">
      <c r="A192" s="1">
        <v>45955</v>
      </c>
      <c r="B192" s="18">
        <v>984</v>
      </c>
      <c r="C192" t="s">
        <v>11</v>
      </c>
      <c r="D192" s="3" t="s">
        <v>172</v>
      </c>
      <c r="E192" s="10">
        <f ca="1">IF(Table2[[#This Row],[Spender]]="YEONG",OFFSET(Table2[[#This Row],[My Actual Balance]],-1,0)-Table2[[#This Row],[Amount]],OFFSET(Table2[[#This Row],[My Actual Balance]],-1,0))</f>
        <v>2493.5799999999995</v>
      </c>
      <c r="F192" s="10">
        <f ca="1">IF(Table2[[#This Row],[Spender]]="MV",OFFSET(Table2[[#This Row],[MV Balance]],-1,0)-Table2[[#This Row],[Amount]],OFFSET(Table2[[#This Row],[MV Balance]],-1,0))</f>
        <v>11303.100000000002</v>
      </c>
      <c r="G192" s="10">
        <f t="shared" ref="G192:G199" ca="1" si="15">SUM(E192:F192)</f>
        <v>13796.680000000002</v>
      </c>
    </row>
    <row r="193" spans="1:7" x14ac:dyDescent="0.45">
      <c r="A193" s="1">
        <v>45955</v>
      </c>
      <c r="B193" s="18">
        <v>1100.5</v>
      </c>
      <c r="C193" t="s">
        <v>11</v>
      </c>
      <c r="D193" s="3" t="s">
        <v>174</v>
      </c>
      <c r="E193" s="10">
        <f ca="1">IF(Table2[[#This Row],[Spender]]="YEONG",OFFSET(Table2[[#This Row],[My Actual Balance]],-1,0)-Table2[[#This Row],[Amount]],OFFSET(Table2[[#This Row],[My Actual Balance]],-1,0))</f>
        <v>2493.5799999999995</v>
      </c>
      <c r="F193" s="10">
        <f ca="1">IF(Table2[[#This Row],[Spender]]="MV",OFFSET(Table2[[#This Row],[MV Balance]],-1,0)-Table2[[#This Row],[Amount]],OFFSET(Table2[[#This Row],[MV Balance]],-1,0))</f>
        <v>10202.600000000002</v>
      </c>
      <c r="G193" s="10">
        <f t="shared" ca="1" si="15"/>
        <v>12696.180000000002</v>
      </c>
    </row>
    <row r="194" spans="1:7" x14ac:dyDescent="0.45">
      <c r="A194" s="1">
        <v>45955</v>
      </c>
      <c r="B194" s="18">
        <v>920</v>
      </c>
      <c r="C194" t="s">
        <v>11</v>
      </c>
      <c r="D194" s="3" t="s">
        <v>176</v>
      </c>
      <c r="E194" s="10">
        <f ca="1">IF(Table2[[#This Row],[Spender]]="YEONG",OFFSET(Table2[[#This Row],[My Actual Balance]],-1,0)-Table2[[#This Row],[Amount]],OFFSET(Table2[[#This Row],[My Actual Balance]],-1,0))</f>
        <v>2493.5799999999995</v>
      </c>
      <c r="F194" s="10">
        <f ca="1">IF(Table2[[#This Row],[Spender]]="MV",OFFSET(Table2[[#This Row],[MV Balance]],-1,0)-Table2[[#This Row],[Amount]],OFFSET(Table2[[#This Row],[MV Balance]],-1,0))</f>
        <v>9282.6000000000022</v>
      </c>
      <c r="G194" s="10">
        <f t="shared" ca="1" si="15"/>
        <v>11776.180000000002</v>
      </c>
    </row>
    <row r="195" spans="1:7" x14ac:dyDescent="0.45">
      <c r="A195" s="1">
        <v>45955</v>
      </c>
      <c r="B195" s="18">
        <v>613.4</v>
      </c>
      <c r="C195" t="s">
        <v>11</v>
      </c>
      <c r="D195" s="3" t="s">
        <v>178</v>
      </c>
      <c r="E195" s="10">
        <f ca="1">IF(Table2[[#This Row],[Spender]]="YEONG",OFFSET(Table2[[#This Row],[My Actual Balance]],-1,0)-Table2[[#This Row],[Amount]],OFFSET(Table2[[#This Row],[My Actual Balance]],-1,0))</f>
        <v>2493.5799999999995</v>
      </c>
      <c r="F195" s="10">
        <f ca="1">IF(Table2[[#This Row],[Spender]]="MV",OFFSET(Table2[[#This Row],[MV Balance]],-1,0)-Table2[[#This Row],[Amount]],OFFSET(Table2[[#This Row],[MV Balance]],-1,0))</f>
        <v>8669.2000000000025</v>
      </c>
      <c r="G195" s="10">
        <f t="shared" ca="1" si="15"/>
        <v>11162.780000000002</v>
      </c>
    </row>
    <row r="196" spans="1:7" x14ac:dyDescent="0.45">
      <c r="A196" s="1">
        <v>45957</v>
      </c>
      <c r="B196" s="18">
        <v>936</v>
      </c>
      <c r="C196" t="s">
        <v>11</v>
      </c>
      <c r="D196" s="3" t="s">
        <v>180</v>
      </c>
      <c r="E196" s="10">
        <f ca="1">IF(Table2[[#This Row],[Spender]]="YEONG",OFFSET(Table2[[#This Row],[My Actual Balance]],-1,0)-Table2[[#This Row],[Amount]],OFFSET(Table2[[#This Row],[My Actual Balance]],-1,0))</f>
        <v>2493.5799999999995</v>
      </c>
      <c r="F196" s="10">
        <f ca="1">IF(Table2[[#This Row],[Spender]]="MV",OFFSET(Table2[[#This Row],[MV Balance]],-1,0)-Table2[[#This Row],[Amount]],OFFSET(Table2[[#This Row],[MV Balance]],-1,0))</f>
        <v>7733.2000000000025</v>
      </c>
      <c r="G196" s="10">
        <f t="shared" ca="1" si="15"/>
        <v>10226.780000000002</v>
      </c>
    </row>
    <row r="197" spans="1:7" x14ac:dyDescent="0.45">
      <c r="A197" s="1">
        <v>45957</v>
      </c>
      <c r="B197" s="18">
        <v>618</v>
      </c>
      <c r="C197" t="s">
        <v>11</v>
      </c>
      <c r="D197" s="3" t="s">
        <v>182</v>
      </c>
      <c r="E197" s="10">
        <f ca="1">IF(Table2[[#This Row],[Spender]]="YEONG",OFFSET(Table2[[#This Row],[My Actual Balance]],-1,0)-Table2[[#This Row],[Amount]],OFFSET(Table2[[#This Row],[My Actual Balance]],-1,0))</f>
        <v>2493.5799999999995</v>
      </c>
      <c r="F197" s="10">
        <f ca="1">IF(Table2[[#This Row],[Spender]]="MV",OFFSET(Table2[[#This Row],[MV Balance]],-1,0)-Table2[[#This Row],[Amount]],OFFSET(Table2[[#This Row],[MV Balance]],-1,0))</f>
        <v>7115.2000000000025</v>
      </c>
      <c r="G197" s="10">
        <f t="shared" ca="1" si="15"/>
        <v>9608.7800000000025</v>
      </c>
    </row>
    <row r="198" spans="1:7" x14ac:dyDescent="0.45">
      <c r="A198" s="1">
        <v>45960</v>
      </c>
      <c r="B198" s="18">
        <v>1520</v>
      </c>
      <c r="C198" t="s">
        <v>11</v>
      </c>
      <c r="D198" s="3" t="s">
        <v>184</v>
      </c>
      <c r="E198" s="10">
        <f ca="1">IF(Table2[[#This Row],[Spender]]="YEONG",OFFSET(Table2[[#This Row],[My Actual Balance]],-1,0)-Table2[[#This Row],[Amount]],OFFSET(Table2[[#This Row],[My Actual Balance]],-1,0))</f>
        <v>2493.5799999999995</v>
      </c>
      <c r="F198" s="10">
        <f ca="1">IF(Table2[[#This Row],[Spender]]="MV",OFFSET(Table2[[#This Row],[MV Balance]],-1,0)-Table2[[#This Row],[Amount]],OFFSET(Table2[[#This Row],[MV Balance]],-1,0))</f>
        <v>5595.2000000000025</v>
      </c>
      <c r="G198" s="10">
        <f t="shared" ca="1" si="15"/>
        <v>8088.7800000000025</v>
      </c>
    </row>
    <row r="199" spans="1:7" x14ac:dyDescent="0.45">
      <c r="A199" s="1">
        <v>45961</v>
      </c>
      <c r="B199" s="18">
        <v>1125</v>
      </c>
      <c r="C199" t="s">
        <v>11</v>
      </c>
      <c r="D199" s="3" t="s">
        <v>186</v>
      </c>
      <c r="E199" s="10">
        <f ca="1">IF(Table2[[#This Row],[Spender]]="YEONG",OFFSET(Table2[[#This Row],[My Actual Balance]],-1,0)-Table2[[#This Row],[Amount]],OFFSET(Table2[[#This Row],[My Actual Balance]],-1,0))</f>
        <v>2493.5799999999995</v>
      </c>
      <c r="F199" s="10">
        <f ca="1">IF(Table2[[#This Row],[Spender]]="MV",OFFSET(Table2[[#This Row],[MV Balance]],-1,0)-Table2[[#This Row],[Amount]],OFFSET(Table2[[#This Row],[MV Balance]],-1,0))</f>
        <v>4470.2000000000025</v>
      </c>
      <c r="G199" s="10">
        <f t="shared" ca="1" si="15"/>
        <v>6963.7800000000025</v>
      </c>
    </row>
    <row r="200" spans="1:7" x14ac:dyDescent="0.45">
      <c r="A200" s="1">
        <v>45962</v>
      </c>
      <c r="B200" s="18">
        <v>960</v>
      </c>
      <c r="C200" t="s">
        <v>11</v>
      </c>
      <c r="D200" s="3" t="s">
        <v>188</v>
      </c>
      <c r="E200" s="10">
        <f ca="1">IF(Table2[[#This Row],[Spender]]="YEONG",OFFSET(Table2[[#This Row],[My Actual Balance]],-1,0)-Table2[[#This Row],[Amount]],OFFSET(Table2[[#This Row],[My Actual Balance]],-1,0))</f>
        <v>2493.5799999999995</v>
      </c>
      <c r="F200" s="10">
        <f ca="1">IF(Table2[[#This Row],[Spender]]="MV",OFFSET(Table2[[#This Row],[MV Balance]],-1,0)-Table2[[#This Row],[Amount]],OFFSET(Table2[[#This Row],[MV Balance]],-1,0))</f>
        <v>3510.2000000000025</v>
      </c>
      <c r="G200" s="10">
        <f t="shared" ref="G200:G206" ca="1" si="16">SUM(E200:F200)</f>
        <v>6003.7800000000025</v>
      </c>
    </row>
    <row r="201" spans="1:7" x14ac:dyDescent="0.45">
      <c r="A201" s="1">
        <v>45965</v>
      </c>
      <c r="B201" s="18">
        <v>2780</v>
      </c>
      <c r="C201" t="s">
        <v>11</v>
      </c>
      <c r="D201" s="3" t="s">
        <v>190</v>
      </c>
      <c r="E201" s="10">
        <f ca="1">IF(Table2[[#This Row],[Spender]]="YEONG",OFFSET(Table2[[#This Row],[My Actual Balance]],-1,0)-Table2[[#This Row],[Amount]],OFFSET(Table2[[#This Row],[My Actual Balance]],-1,0))</f>
        <v>2493.5799999999995</v>
      </c>
      <c r="F201" s="10">
        <f ca="1">IF(Table2[[#This Row],[Spender]]="MV",OFFSET(Table2[[#This Row],[MV Balance]],-1,0)-Table2[[#This Row],[Amount]],OFFSET(Table2[[#This Row],[MV Balance]],-1,0))</f>
        <v>730.20000000000255</v>
      </c>
      <c r="G201" s="10">
        <f t="shared" ca="1" si="16"/>
        <v>3223.780000000002</v>
      </c>
    </row>
    <row r="202" spans="1:7" x14ac:dyDescent="0.45">
      <c r="A202" s="1">
        <v>45966</v>
      </c>
      <c r="B202" s="18">
        <v>-10000</v>
      </c>
      <c r="C202" t="s">
        <v>11</v>
      </c>
      <c r="D202" s="3" t="s">
        <v>95</v>
      </c>
      <c r="E202" s="10">
        <f ca="1">IF(Table2[[#This Row],[Spender]]="YEONG",OFFSET(Table2[[#This Row],[My Actual Balance]],-1,0)-Table2[[#This Row],[Amount]],OFFSET(Table2[[#This Row],[My Actual Balance]],-1,0))</f>
        <v>2493.5799999999995</v>
      </c>
      <c r="F202" s="10">
        <f ca="1">IF(Table2[[#This Row],[Spender]]="MV",OFFSET(Table2[[#This Row],[MV Balance]],-1,0)-Table2[[#This Row],[Amount]],OFFSET(Table2[[#This Row],[MV Balance]],-1,0))</f>
        <v>10730.200000000003</v>
      </c>
      <c r="G202" s="10">
        <f t="shared" ca="1" si="16"/>
        <v>13223.780000000002</v>
      </c>
    </row>
    <row r="203" spans="1:7" x14ac:dyDescent="0.45">
      <c r="A203" s="1">
        <v>45966</v>
      </c>
      <c r="B203" s="18">
        <v>609</v>
      </c>
      <c r="C203" t="s">
        <v>11</v>
      </c>
      <c r="D203" s="3" t="s">
        <v>192</v>
      </c>
      <c r="E203" s="10">
        <f ca="1">IF(Table2[[#This Row],[Spender]]="YEONG",OFFSET(Table2[[#This Row],[My Actual Balance]],-1,0)-Table2[[#This Row],[Amount]],OFFSET(Table2[[#This Row],[My Actual Balance]],-1,0))</f>
        <v>2493.5799999999995</v>
      </c>
      <c r="F203" s="10">
        <f ca="1">IF(Table2[[#This Row],[Spender]]="MV",OFFSET(Table2[[#This Row],[MV Balance]],-1,0)-Table2[[#This Row],[Amount]],OFFSET(Table2[[#This Row],[MV Balance]],-1,0))</f>
        <v>10121.200000000003</v>
      </c>
      <c r="G203" s="10">
        <f t="shared" ca="1" si="16"/>
        <v>12614.780000000002</v>
      </c>
    </row>
    <row r="204" spans="1:7" x14ac:dyDescent="0.45">
      <c r="A204" s="1">
        <v>45967</v>
      </c>
      <c r="B204" s="18">
        <v>3200</v>
      </c>
      <c r="C204" t="s">
        <v>11</v>
      </c>
      <c r="D204" s="3" t="s">
        <v>194</v>
      </c>
      <c r="E204" s="10">
        <f ca="1">IF(Table2[[#This Row],[Spender]]="YEONG",OFFSET(Table2[[#This Row],[My Actual Balance]],-1,0)-Table2[[#This Row],[Amount]],OFFSET(Table2[[#This Row],[My Actual Balance]],-1,0))</f>
        <v>2493.5799999999995</v>
      </c>
      <c r="F204" s="10">
        <f ca="1">IF(Table2[[#This Row],[Spender]]="MV",OFFSET(Table2[[#This Row],[MV Balance]],-1,0)-Table2[[#This Row],[Amount]],OFFSET(Table2[[#This Row],[MV Balance]],-1,0))</f>
        <v>6921.2000000000025</v>
      </c>
      <c r="G204" s="10">
        <f t="shared" ca="1" si="16"/>
        <v>9414.7800000000025</v>
      </c>
    </row>
    <row r="205" spans="1:7" x14ac:dyDescent="0.45">
      <c r="A205" s="1">
        <v>45969</v>
      </c>
      <c r="B205" s="18">
        <v>1078</v>
      </c>
      <c r="C205" t="s">
        <v>11</v>
      </c>
      <c r="D205" s="3" t="s">
        <v>196</v>
      </c>
      <c r="E205" s="10">
        <f ca="1">IF(Table2[[#This Row],[Spender]]="YEONG",OFFSET(Table2[[#This Row],[My Actual Balance]],-1,0)-Table2[[#This Row],[Amount]],OFFSET(Table2[[#This Row],[My Actual Balance]],-1,0))</f>
        <v>2493.5799999999995</v>
      </c>
      <c r="F205" s="10">
        <f ca="1">IF(Table2[[#This Row],[Spender]]="MV",OFFSET(Table2[[#This Row],[MV Balance]],-1,0)-Table2[[#This Row],[Amount]],OFFSET(Table2[[#This Row],[MV Balance]],-1,0))</f>
        <v>5843.2000000000025</v>
      </c>
      <c r="G205" s="10">
        <f t="shared" ca="1" si="16"/>
        <v>8336.7800000000025</v>
      </c>
    </row>
    <row r="206" spans="1:7" x14ac:dyDescent="0.45">
      <c r="A206" s="1">
        <v>45969</v>
      </c>
      <c r="B206" s="18">
        <v>652</v>
      </c>
      <c r="C206" t="s">
        <v>11</v>
      </c>
      <c r="D206" s="3" t="s">
        <v>198</v>
      </c>
      <c r="E206" s="10">
        <f ca="1">IF(Table2[[#This Row],[Spender]]="YEONG",OFFSET(Table2[[#This Row],[My Actual Balance]],-1,0)-Table2[[#This Row],[Amount]],OFFSET(Table2[[#This Row],[My Actual Balance]],-1,0))</f>
        <v>2493.5799999999995</v>
      </c>
      <c r="F206" s="10">
        <f ca="1">IF(Table2[[#This Row],[Spender]]="MV",OFFSET(Table2[[#This Row],[MV Balance]],-1,0)-Table2[[#This Row],[Amount]],OFFSET(Table2[[#This Row],[MV Balance]],-1,0))</f>
        <v>5191.2000000000025</v>
      </c>
      <c r="G206" s="10">
        <f t="shared" ca="1" si="16"/>
        <v>7684.7800000000025</v>
      </c>
    </row>
    <row r="207" spans="1:7" x14ac:dyDescent="0.45">
      <c r="A207" s="1">
        <v>45970</v>
      </c>
      <c r="B207" s="18">
        <v>1000</v>
      </c>
      <c r="C207" t="s">
        <v>11</v>
      </c>
      <c r="D207" s="3" t="s">
        <v>199</v>
      </c>
      <c r="E207" s="10">
        <f ca="1">IF(Table2[[#This Row],[Spender]]="YEONG",OFFSET(Table2[[#This Row],[My Actual Balance]],-1,0)-Table2[[#This Row],[Amount]],OFFSET(Table2[[#This Row],[My Actual Balance]],-1,0))</f>
        <v>2493.5799999999995</v>
      </c>
      <c r="F207" s="10">
        <f ca="1">IF(Table2[[#This Row],[Spender]]="MV",OFFSET(Table2[[#This Row],[MV Balance]],-1,0)-Table2[[#This Row],[Amount]],OFFSET(Table2[[#This Row],[MV Balance]],-1,0))</f>
        <v>4191.2000000000025</v>
      </c>
      <c r="G207" s="10">
        <f t="shared" ref="G207:G214" ca="1" si="17">SUM(E207:F207)</f>
        <v>6684.7800000000025</v>
      </c>
    </row>
    <row r="208" spans="1:7" x14ac:dyDescent="0.45">
      <c r="A208" s="1">
        <v>45970</v>
      </c>
      <c r="B208" s="18">
        <v>874</v>
      </c>
      <c r="C208" t="s">
        <v>11</v>
      </c>
      <c r="D208" s="3" t="s">
        <v>201</v>
      </c>
      <c r="E208" s="10">
        <f ca="1">IF(Table2[[#This Row],[Spender]]="YEONG",OFFSET(Table2[[#This Row],[My Actual Balance]],-1,0)-Table2[[#This Row],[Amount]],OFFSET(Table2[[#This Row],[My Actual Balance]],-1,0))</f>
        <v>2493.5799999999995</v>
      </c>
      <c r="F208" s="10">
        <f ca="1">IF(Table2[[#This Row],[Spender]]="MV",OFFSET(Table2[[#This Row],[MV Balance]],-1,0)-Table2[[#This Row],[Amount]],OFFSET(Table2[[#This Row],[MV Balance]],-1,0))</f>
        <v>3317.2000000000025</v>
      </c>
      <c r="G208" s="10">
        <f t="shared" ca="1" si="17"/>
        <v>5810.7800000000025</v>
      </c>
    </row>
    <row r="209" spans="1:7" x14ac:dyDescent="0.45">
      <c r="A209" s="1">
        <v>45971</v>
      </c>
      <c r="B209" s="18">
        <v>2962</v>
      </c>
      <c r="C209" t="s">
        <v>11</v>
      </c>
      <c r="D209" s="3" t="s">
        <v>203</v>
      </c>
      <c r="E209" s="10">
        <f ca="1">IF(Table2[[#This Row],[Spender]]="YEONG",OFFSET(Table2[[#This Row],[My Actual Balance]],-1,0)-Table2[[#This Row],[Amount]],OFFSET(Table2[[#This Row],[My Actual Balance]],-1,0))</f>
        <v>2493.5799999999995</v>
      </c>
      <c r="F209" s="10">
        <f ca="1">IF(Table2[[#This Row],[Spender]]="MV",OFFSET(Table2[[#This Row],[MV Balance]],-1,0)-Table2[[#This Row],[Amount]],OFFSET(Table2[[#This Row],[MV Balance]],-1,0))</f>
        <v>355.20000000000255</v>
      </c>
      <c r="G209" s="10">
        <f t="shared" ca="1" si="17"/>
        <v>2848.780000000002</v>
      </c>
    </row>
    <row r="210" spans="1:7" x14ac:dyDescent="0.45">
      <c r="A210" s="1">
        <v>45972</v>
      </c>
      <c r="B210" s="18">
        <v>-10000</v>
      </c>
      <c r="C210" t="s">
        <v>11</v>
      </c>
      <c r="D210" s="3" t="s">
        <v>15</v>
      </c>
      <c r="E210" s="10">
        <f ca="1">IF(Table2[[#This Row],[Spender]]="YEONG",OFFSET(Table2[[#This Row],[My Actual Balance]],-1,0)-Table2[[#This Row],[Amount]],OFFSET(Table2[[#This Row],[My Actual Balance]],-1,0))</f>
        <v>2493.5799999999995</v>
      </c>
      <c r="F210" s="10">
        <f ca="1">IF(Table2[[#This Row],[Spender]]="MV",OFFSET(Table2[[#This Row],[MV Balance]],-1,0)-Table2[[#This Row],[Amount]],OFFSET(Table2[[#This Row],[MV Balance]],-1,0))</f>
        <v>10355.200000000003</v>
      </c>
      <c r="G210" s="10">
        <f t="shared" ca="1" si="17"/>
        <v>12848.780000000002</v>
      </c>
    </row>
    <row r="211" spans="1:7" x14ac:dyDescent="0.45">
      <c r="A211" s="1">
        <v>45974</v>
      </c>
      <c r="B211" s="18">
        <v>841.75</v>
      </c>
      <c r="C211" t="s">
        <v>11</v>
      </c>
      <c r="D211" s="3" t="s">
        <v>205</v>
      </c>
      <c r="E211" s="10">
        <f ca="1">IF(Table2[[#This Row],[Spender]]="YEONG",OFFSET(Table2[[#This Row],[My Actual Balance]],-1,0)-Table2[[#This Row],[Amount]],OFFSET(Table2[[#This Row],[My Actual Balance]],-1,0))</f>
        <v>2493.5799999999995</v>
      </c>
      <c r="F211" s="10">
        <f ca="1">IF(Table2[[#This Row],[Spender]]="MV",OFFSET(Table2[[#This Row],[MV Balance]],-1,0)-Table2[[#This Row],[Amount]],OFFSET(Table2[[#This Row],[MV Balance]],-1,0))</f>
        <v>9513.4500000000025</v>
      </c>
      <c r="G211" s="10">
        <f t="shared" ca="1" si="17"/>
        <v>12007.030000000002</v>
      </c>
    </row>
    <row r="212" spans="1:7" x14ac:dyDescent="0.45">
      <c r="A212" s="1">
        <v>45974</v>
      </c>
      <c r="B212" s="18">
        <v>840</v>
      </c>
      <c r="C212" t="s">
        <v>11</v>
      </c>
      <c r="D212" s="3" t="s">
        <v>206</v>
      </c>
      <c r="E212" s="10">
        <f ca="1">IF(Table2[[#This Row],[Spender]]="YEONG",OFFSET(Table2[[#This Row],[My Actual Balance]],-1,0)-Table2[[#This Row],[Amount]],OFFSET(Table2[[#This Row],[My Actual Balance]],-1,0))</f>
        <v>2493.5799999999995</v>
      </c>
      <c r="F212" s="10">
        <f ca="1">IF(Table2[[#This Row],[Spender]]="MV",OFFSET(Table2[[#This Row],[MV Balance]],-1,0)-Table2[[#This Row],[Amount]],OFFSET(Table2[[#This Row],[MV Balance]],-1,0))</f>
        <v>8673.4500000000025</v>
      </c>
      <c r="G212" s="10">
        <f t="shared" ca="1" si="17"/>
        <v>11167.030000000002</v>
      </c>
    </row>
    <row r="213" spans="1:7" x14ac:dyDescent="0.45">
      <c r="A213" s="1">
        <v>45975</v>
      </c>
      <c r="B213" s="18">
        <v>5040</v>
      </c>
      <c r="C213" t="s">
        <v>11</v>
      </c>
      <c r="D213" s="3" t="s">
        <v>208</v>
      </c>
      <c r="E213" s="10">
        <f ca="1">IF(Table2[[#This Row],[Spender]]="YEONG",OFFSET(Table2[[#This Row],[My Actual Balance]],-1,0)-Table2[[#This Row],[Amount]],OFFSET(Table2[[#This Row],[My Actual Balance]],-1,0))</f>
        <v>2493.5799999999995</v>
      </c>
      <c r="F213" s="10">
        <f ca="1">IF(Table2[[#This Row],[Spender]]="MV",OFFSET(Table2[[#This Row],[MV Balance]],-1,0)-Table2[[#This Row],[Amount]],OFFSET(Table2[[#This Row],[MV Balance]],-1,0))</f>
        <v>3633.4500000000025</v>
      </c>
      <c r="G213" s="10">
        <f t="shared" ca="1" si="17"/>
        <v>6127.0300000000025</v>
      </c>
    </row>
    <row r="214" spans="1:7" x14ac:dyDescent="0.45">
      <c r="A214" s="1">
        <v>45979</v>
      </c>
      <c r="B214" s="18">
        <v>490</v>
      </c>
      <c r="C214" t="s">
        <v>11</v>
      </c>
      <c r="D214" s="3" t="s">
        <v>210</v>
      </c>
      <c r="E214" s="10">
        <f ca="1">IF(Table2[[#This Row],[Spender]]="YEONG",OFFSET(Table2[[#This Row],[My Actual Balance]],-1,0)-Table2[[#This Row],[Amount]],OFFSET(Table2[[#This Row],[My Actual Balance]],-1,0))</f>
        <v>2493.5799999999995</v>
      </c>
      <c r="F214" s="10">
        <f ca="1">IF(Table2[[#This Row],[Spender]]="MV",OFFSET(Table2[[#This Row],[MV Balance]],-1,0)-Table2[[#This Row],[Amount]],OFFSET(Table2[[#This Row],[MV Balance]],-1,0))</f>
        <v>3143.4500000000025</v>
      </c>
      <c r="G214" s="10">
        <f t="shared" ca="1" si="17"/>
        <v>5637.0300000000025</v>
      </c>
    </row>
    <row r="215" spans="1:7" x14ac:dyDescent="0.45">
      <c r="A215" s="1">
        <v>45981</v>
      </c>
      <c r="B215" s="18">
        <v>-10000</v>
      </c>
      <c r="C215" t="s">
        <v>11</v>
      </c>
      <c r="D215" s="3" t="s">
        <v>211</v>
      </c>
      <c r="E215" s="10">
        <f ca="1">IF(Table2[[#This Row],[Spender]]="YEONG",OFFSET(Table2[[#This Row],[My Actual Balance]],-1,0)-Table2[[#This Row],[Amount]],OFFSET(Table2[[#This Row],[My Actual Balance]],-1,0))</f>
        <v>2493.5799999999995</v>
      </c>
      <c r="F215" s="10">
        <f ca="1">IF(Table2[[#This Row],[Spender]]="MV",OFFSET(Table2[[#This Row],[MV Balance]],-1,0)-Table2[[#This Row],[Amount]],OFFSET(Table2[[#This Row],[MV Balance]],-1,0))</f>
        <v>13143.450000000003</v>
      </c>
      <c r="G215" s="10">
        <f t="shared" ref="G215:G221" ca="1" si="18">SUM(E215:F215)</f>
        <v>15637.030000000002</v>
      </c>
    </row>
    <row r="216" spans="1:7" x14ac:dyDescent="0.45">
      <c r="A216" s="1">
        <v>45982</v>
      </c>
      <c r="B216" s="18">
        <v>1345</v>
      </c>
      <c r="C216" t="s">
        <v>11</v>
      </c>
      <c r="D216" s="3" t="s">
        <v>213</v>
      </c>
      <c r="E216" s="10">
        <f ca="1">IF(Table2[[#This Row],[Spender]]="YEONG",OFFSET(Table2[[#This Row],[My Actual Balance]],-1,0)-Table2[[#This Row],[Amount]],OFFSET(Table2[[#This Row],[My Actual Balance]],-1,0))</f>
        <v>2493.5799999999995</v>
      </c>
      <c r="F216" s="10">
        <f ca="1">IF(Table2[[#This Row],[Spender]]="MV",OFFSET(Table2[[#This Row],[MV Balance]],-1,0)-Table2[[#This Row],[Amount]],OFFSET(Table2[[#This Row],[MV Balance]],-1,0))</f>
        <v>11798.450000000003</v>
      </c>
      <c r="G216" s="10">
        <f t="shared" ca="1" si="18"/>
        <v>14292.030000000002</v>
      </c>
    </row>
    <row r="217" spans="1:7" x14ac:dyDescent="0.45">
      <c r="A217" s="1">
        <v>45982</v>
      </c>
      <c r="B217" s="18">
        <v>8016</v>
      </c>
      <c r="C217" t="s">
        <v>11</v>
      </c>
      <c r="D217" s="3" t="s">
        <v>215</v>
      </c>
      <c r="E217" s="10">
        <f ca="1">IF(Table2[[#This Row],[Spender]]="YEONG",OFFSET(Table2[[#This Row],[My Actual Balance]],-1,0)-Table2[[#This Row],[Amount]],OFFSET(Table2[[#This Row],[My Actual Balance]],-1,0))</f>
        <v>2493.5799999999995</v>
      </c>
      <c r="F217" s="10">
        <f ca="1">IF(Table2[[#This Row],[Spender]]="MV",OFFSET(Table2[[#This Row],[MV Balance]],-1,0)-Table2[[#This Row],[Amount]],OFFSET(Table2[[#This Row],[MV Balance]],-1,0))</f>
        <v>3782.4500000000025</v>
      </c>
      <c r="G217" s="10">
        <f t="shared" ca="1" si="18"/>
        <v>6276.0300000000025</v>
      </c>
    </row>
    <row r="218" spans="1:7" x14ac:dyDescent="0.45">
      <c r="A218" s="1">
        <v>45983</v>
      </c>
      <c r="B218" s="18">
        <v>772</v>
      </c>
      <c r="C218" t="s">
        <v>11</v>
      </c>
      <c r="D218" s="3" t="s">
        <v>217</v>
      </c>
      <c r="E218" s="10">
        <f ca="1">IF(Table2[[#This Row],[Spender]]="YEONG",OFFSET(Table2[[#This Row],[My Actual Balance]],-1,0)-Table2[[#This Row],[Amount]],OFFSET(Table2[[#This Row],[My Actual Balance]],-1,0))</f>
        <v>2493.5799999999995</v>
      </c>
      <c r="F218" s="10">
        <f ca="1">IF(Table2[[#This Row],[Spender]]="MV",OFFSET(Table2[[#This Row],[MV Balance]],-1,0)-Table2[[#This Row],[Amount]],OFFSET(Table2[[#This Row],[MV Balance]],-1,0))</f>
        <v>3010.4500000000025</v>
      </c>
      <c r="G218" s="10">
        <f t="shared" ca="1" si="18"/>
        <v>5504.0300000000025</v>
      </c>
    </row>
    <row r="219" spans="1:7" x14ac:dyDescent="0.45">
      <c r="A219" s="1">
        <v>45986</v>
      </c>
      <c r="B219" s="18">
        <v>3199.8</v>
      </c>
      <c r="C219" t="s">
        <v>11</v>
      </c>
      <c r="D219" s="3" t="s">
        <v>218</v>
      </c>
      <c r="E219" s="10">
        <f ca="1">IF(Table2[[#This Row],[Spender]]="YEONG",OFFSET(Table2[[#This Row],[My Actual Balance]],-1,0)-Table2[[#This Row],[Amount]],OFFSET(Table2[[#This Row],[My Actual Balance]],-1,0))</f>
        <v>2493.5799999999995</v>
      </c>
      <c r="F219" s="10">
        <f ca="1">IF(Table2[[#This Row],[Spender]]="MV",OFFSET(Table2[[#This Row],[MV Balance]],-1,0)-Table2[[#This Row],[Amount]],OFFSET(Table2[[#This Row],[MV Balance]],-1,0))</f>
        <v>-189.34999999999764</v>
      </c>
      <c r="G219" s="10">
        <f t="shared" ca="1" si="18"/>
        <v>2304.2300000000018</v>
      </c>
    </row>
    <row r="220" spans="1:7" x14ac:dyDescent="0.45">
      <c r="A220" s="1">
        <v>45986</v>
      </c>
      <c r="B220" s="18">
        <v>-10000</v>
      </c>
      <c r="C220" t="s">
        <v>11</v>
      </c>
      <c r="D220" s="3" t="s">
        <v>211</v>
      </c>
      <c r="E220" s="10">
        <f ca="1">IF(Table2[[#This Row],[Spender]]="YEONG",OFFSET(Table2[[#This Row],[My Actual Balance]],-1,0)-Table2[[#This Row],[Amount]],OFFSET(Table2[[#This Row],[My Actual Balance]],-1,0))</f>
        <v>2493.5799999999995</v>
      </c>
      <c r="F220" s="10">
        <f ca="1">IF(Table2[[#This Row],[Spender]]="MV",OFFSET(Table2[[#This Row],[MV Balance]],-1,0)-Table2[[#This Row],[Amount]],OFFSET(Table2[[#This Row],[MV Balance]],-1,0))</f>
        <v>9810.6500000000015</v>
      </c>
      <c r="G220" s="10">
        <f t="shared" ca="1" si="18"/>
        <v>12304.230000000001</v>
      </c>
    </row>
    <row r="221" spans="1:7" x14ac:dyDescent="0.45">
      <c r="A221" s="1">
        <v>45986</v>
      </c>
      <c r="B221" s="18">
        <v>4614.46</v>
      </c>
      <c r="C221" t="s">
        <v>11</v>
      </c>
      <c r="D221" s="3" t="s">
        <v>220</v>
      </c>
      <c r="E221" s="10">
        <f ca="1">IF(Table2[[#This Row],[Spender]]="YEONG",OFFSET(Table2[[#This Row],[My Actual Balance]],-1,0)-Table2[[#This Row],[Amount]],OFFSET(Table2[[#This Row],[My Actual Balance]],-1,0))</f>
        <v>2493.5799999999995</v>
      </c>
      <c r="F221" s="10">
        <f ca="1">IF(Table2[[#This Row],[Spender]]="MV",OFFSET(Table2[[#This Row],[MV Balance]],-1,0)-Table2[[#This Row],[Amount]],OFFSET(Table2[[#This Row],[MV Balance]],-1,0))</f>
        <v>5196.1900000000014</v>
      </c>
      <c r="G221" s="10">
        <f t="shared" ca="1" si="18"/>
        <v>7689.77</v>
      </c>
    </row>
    <row r="222" spans="1:7" x14ac:dyDescent="0.45">
      <c r="A222" s="1">
        <v>45987</v>
      </c>
      <c r="B222" s="18">
        <v>3800</v>
      </c>
      <c r="C222" t="s">
        <v>11</v>
      </c>
      <c r="D222" s="3" t="s">
        <v>262</v>
      </c>
      <c r="E222" s="10">
        <f ca="1">IF(Table2[[#This Row],[Spender]]="YEONG",OFFSET(Table2[[#This Row],[My Actual Balance]],-1,0)-Table2[[#This Row],[Amount]],OFFSET(Table2[[#This Row],[My Actual Balance]],-1,0))</f>
        <v>2493.5799999999995</v>
      </c>
      <c r="F222" s="10">
        <f ca="1">IF(Table2[[#This Row],[Spender]]="MV",OFFSET(Table2[[#This Row],[MV Balance]],-1,0)-Table2[[#This Row],[Amount]],OFFSET(Table2[[#This Row],[MV Balance]],-1,0))</f>
        <v>1396.1900000000014</v>
      </c>
      <c r="G222" s="10">
        <f ca="1">SUM(E222:F222)</f>
        <v>3889.7700000000009</v>
      </c>
    </row>
    <row r="223" spans="1:7" x14ac:dyDescent="0.45">
      <c r="A223" s="1">
        <v>45988</v>
      </c>
      <c r="B223" s="18">
        <v>75</v>
      </c>
      <c r="C223" t="s">
        <v>11</v>
      </c>
      <c r="D223" s="3" t="s">
        <v>263</v>
      </c>
      <c r="E223" s="10">
        <f ca="1">IF(Table2[[#This Row],[Spender]]="YEONG",OFFSET(Table2[[#This Row],[My Actual Balance]],-1,0)-Table2[[#This Row],[Amount]],OFFSET(Table2[[#This Row],[My Actual Balance]],-1,0))</f>
        <v>2493.5799999999995</v>
      </c>
      <c r="F223" s="10">
        <f ca="1">IF(Table2[[#This Row],[Spender]]="MV",OFFSET(Table2[[#This Row],[MV Balance]],-1,0)-Table2[[#This Row],[Amount]],OFFSET(Table2[[#This Row],[MV Balance]],-1,0))</f>
        <v>1321.1900000000014</v>
      </c>
      <c r="G223" s="10">
        <f ca="1">SUM(E223:F223)</f>
        <v>3814.7700000000009</v>
      </c>
    </row>
    <row r="224" spans="1:7" x14ac:dyDescent="0.45">
      <c r="A224" s="1">
        <v>45988</v>
      </c>
      <c r="B224" s="18">
        <v>379</v>
      </c>
      <c r="C224" t="s">
        <v>11</v>
      </c>
      <c r="D224" s="3" t="s">
        <v>264</v>
      </c>
      <c r="E224" s="10">
        <f ca="1">IF(Table2[[#This Row],[Spender]]="YEONG",OFFSET(Table2[[#This Row],[My Actual Balance]],-1,0)-Table2[[#This Row],[Amount]],OFFSET(Table2[[#This Row],[My Actual Balance]],-1,0))</f>
        <v>2493.5799999999995</v>
      </c>
      <c r="F224" s="10">
        <f ca="1">IF(Table2[[#This Row],[Spender]]="MV",OFFSET(Table2[[#This Row],[MV Balance]],-1,0)-Table2[[#This Row],[Amount]],OFFSET(Table2[[#This Row],[MV Balance]],-1,0))</f>
        <v>942.19000000000142</v>
      </c>
      <c r="G224" s="10">
        <f ca="1">SUM(E224:F224)</f>
        <v>3435.7700000000009</v>
      </c>
    </row>
    <row r="225" spans="1:7" x14ac:dyDescent="0.45">
      <c r="A225" s="1">
        <v>45988</v>
      </c>
      <c r="B225" s="18">
        <v>815</v>
      </c>
      <c r="C225" t="s">
        <v>11</v>
      </c>
      <c r="D225" s="3" t="s">
        <v>265</v>
      </c>
      <c r="E225" s="10">
        <f ca="1">IF(Table2[[#This Row],[Spender]]="YEONG",OFFSET(Table2[[#This Row],[My Actual Balance]],-1,0)-Table2[[#This Row],[Amount]],OFFSET(Table2[[#This Row],[My Actual Balance]],-1,0))</f>
        <v>2493.5799999999995</v>
      </c>
      <c r="F225" s="10">
        <f ca="1">IF(Table2[[#This Row],[Spender]]="MV",OFFSET(Table2[[#This Row],[MV Balance]],-1,0)-Table2[[#This Row],[Amount]],OFFSET(Table2[[#This Row],[MV Balance]],-1,0))</f>
        <v>127.19000000000142</v>
      </c>
      <c r="G225" s="10">
        <f ca="1">SUM(E225:F225)</f>
        <v>2620.7700000000009</v>
      </c>
    </row>
    <row r="226" spans="1:7" x14ac:dyDescent="0.45">
      <c r="A226" s="1">
        <v>45992</v>
      </c>
      <c r="B226" s="18">
        <v>-10000</v>
      </c>
      <c r="C226" t="s">
        <v>11</v>
      </c>
      <c r="D226" s="3" t="s">
        <v>211</v>
      </c>
      <c r="E226" s="10">
        <f ca="1">IF(Table2[[#This Row],[Spender]]="YEONG",OFFSET(Table2[[#This Row],[My Actual Balance]],-1,0)-Table2[[#This Row],[Amount]],OFFSET(Table2[[#This Row],[My Actual Balance]],-1,0))</f>
        <v>2493.5799999999995</v>
      </c>
      <c r="F226" s="10">
        <f ca="1">IF(Table2[[#This Row],[Spender]]="MV",OFFSET(Table2[[#This Row],[MV Balance]],-1,0)-Table2[[#This Row],[Amount]],OFFSET(Table2[[#This Row],[MV Balance]],-1,0))</f>
        <v>10127.190000000002</v>
      </c>
      <c r="G226" s="10">
        <f ca="1">SUM(E226:F226)</f>
        <v>12620.770000000002</v>
      </c>
    </row>
    <row r="227" spans="1:7" x14ac:dyDescent="0.45">
      <c r="A227" s="1">
        <v>45993</v>
      </c>
      <c r="B227" s="18">
        <v>600</v>
      </c>
      <c r="C227" t="s">
        <v>11</v>
      </c>
      <c r="D227" s="3" t="s">
        <v>266</v>
      </c>
      <c r="E227" s="10">
        <f ca="1">IF(Table2[[#This Row],[Spender]]="YEONG",OFFSET(Table2[[#This Row],[My Actual Balance]],-1,0)-Table2[[#This Row],[Amount]],OFFSET(Table2[[#This Row],[My Actual Balance]],-1,0))</f>
        <v>2493.5799999999995</v>
      </c>
      <c r="F227" s="10">
        <f ca="1">IF(Table2[[#This Row],[Spender]]="MV",OFFSET(Table2[[#This Row],[MV Balance]],-1,0)-Table2[[#This Row],[Amount]],OFFSET(Table2[[#This Row],[MV Balance]],-1,0))</f>
        <v>9527.1900000000023</v>
      </c>
      <c r="G227" s="10">
        <f t="shared" ref="G227:G228" ca="1" si="19">SUM(E227:F227)</f>
        <v>12020.770000000002</v>
      </c>
    </row>
    <row r="228" spans="1:7" x14ac:dyDescent="0.45">
      <c r="A228" s="1">
        <v>45993</v>
      </c>
      <c r="B228" s="18">
        <v>610</v>
      </c>
      <c r="C228" t="s">
        <v>11</v>
      </c>
      <c r="D228" s="3" t="s">
        <v>267</v>
      </c>
      <c r="E228" s="10">
        <f ca="1">IF(Table2[[#This Row],[Spender]]="YEONG",OFFSET(Table2[[#This Row],[My Actual Balance]],-1,0)-Table2[[#This Row],[Amount]],OFFSET(Table2[[#This Row],[My Actual Balance]],-1,0))</f>
        <v>2493.5799999999995</v>
      </c>
      <c r="F228" s="10">
        <f ca="1">IF(Table2[[#This Row],[Spender]]="MV",OFFSET(Table2[[#This Row],[MV Balance]],-1,0)-Table2[[#This Row],[Amount]],OFFSET(Table2[[#This Row],[MV Balance]],-1,0))</f>
        <v>8917.1900000000023</v>
      </c>
      <c r="G228" s="10">
        <f t="shared" ca="1" si="19"/>
        <v>11410.770000000002</v>
      </c>
    </row>
    <row r="229" spans="1:7" x14ac:dyDescent="0.45">
      <c r="A229" s="1">
        <v>45993</v>
      </c>
      <c r="B229" s="18">
        <v>3200</v>
      </c>
      <c r="C229" t="s">
        <v>11</v>
      </c>
      <c r="D229" s="3" t="s">
        <v>268</v>
      </c>
      <c r="E229" s="10">
        <f ca="1">IF(Table2[[#This Row],[Spender]]="YEONG",OFFSET(Table2[[#This Row],[My Actual Balance]],-1,0)-Table2[[#This Row],[Amount]],OFFSET(Table2[[#This Row],[My Actual Balance]],-1,0))</f>
        <v>2493.5799999999995</v>
      </c>
      <c r="F229" s="10">
        <f ca="1">IF(Table2[[#This Row],[Spender]]="MV",OFFSET(Table2[[#This Row],[MV Balance]],-1,0)-Table2[[#This Row],[Amount]],OFFSET(Table2[[#This Row],[MV Balance]],-1,0))</f>
        <v>5717.1900000000023</v>
      </c>
      <c r="G229" s="10">
        <f t="shared" ref="G229:G236" ca="1" si="20">SUM(E229:F229)</f>
        <v>8210.7700000000023</v>
      </c>
    </row>
    <row r="230" spans="1:7" x14ac:dyDescent="0.45">
      <c r="A230" s="1">
        <v>45995</v>
      </c>
      <c r="B230" s="18">
        <v>5060</v>
      </c>
      <c r="C230" t="s">
        <v>11</v>
      </c>
      <c r="D230" s="3" t="s">
        <v>269</v>
      </c>
      <c r="E230" s="10">
        <f ca="1">IF(Table2[[#This Row],[Spender]]="YEONG",OFFSET(Table2[[#This Row],[My Actual Balance]],-1,0)-Table2[[#This Row],[Amount]],OFFSET(Table2[[#This Row],[My Actual Balance]],-1,0))</f>
        <v>2493.5799999999995</v>
      </c>
      <c r="F230" s="10">
        <f ca="1">IF(Table2[[#This Row],[Spender]]="MV",OFFSET(Table2[[#This Row],[MV Balance]],-1,0)-Table2[[#This Row],[Amount]],OFFSET(Table2[[#This Row],[MV Balance]],-1,0))</f>
        <v>657.19000000000233</v>
      </c>
      <c r="G230" s="10">
        <f t="shared" ca="1" si="20"/>
        <v>3150.7700000000018</v>
      </c>
    </row>
    <row r="231" spans="1:7" x14ac:dyDescent="0.45">
      <c r="A231" s="1">
        <v>45996</v>
      </c>
      <c r="B231" s="18">
        <v>-744</v>
      </c>
      <c r="C231" t="s">
        <v>11</v>
      </c>
      <c r="D231" s="3" t="s">
        <v>270</v>
      </c>
      <c r="E231" s="10">
        <f ca="1">IF(Table2[[#This Row],[Spender]]="YEONG",OFFSET(Table2[[#This Row],[My Actual Balance]],-1,0)-Table2[[#This Row],[Amount]],OFFSET(Table2[[#This Row],[My Actual Balance]],-1,0))</f>
        <v>2493.5799999999995</v>
      </c>
      <c r="F231" s="10">
        <f ca="1">IF(Table2[[#This Row],[Spender]]="MV",OFFSET(Table2[[#This Row],[MV Balance]],-1,0)-Table2[[#This Row],[Amount]],OFFSET(Table2[[#This Row],[MV Balance]],-1,0))</f>
        <v>1401.1900000000023</v>
      </c>
      <c r="G231" s="10">
        <f t="shared" ca="1" si="20"/>
        <v>3894.7700000000018</v>
      </c>
    </row>
    <row r="232" spans="1:7" x14ac:dyDescent="0.45">
      <c r="A232" s="1">
        <v>45999</v>
      </c>
      <c r="B232" s="18">
        <v>-10000</v>
      </c>
      <c r="C232" t="s">
        <v>11</v>
      </c>
      <c r="D232" s="3" t="s">
        <v>211</v>
      </c>
      <c r="E232" s="10">
        <f ca="1">IF(Table2[[#This Row],[Spender]]="YEONG",OFFSET(Table2[[#This Row],[My Actual Balance]],-1,0)-Table2[[#This Row],[Amount]],OFFSET(Table2[[#This Row],[My Actual Balance]],-1,0))</f>
        <v>2493.5799999999995</v>
      </c>
      <c r="F232" s="10">
        <f ca="1">IF(Table2[[#This Row],[Spender]]="MV",OFFSET(Table2[[#This Row],[MV Balance]],-1,0)-Table2[[#This Row],[Amount]],OFFSET(Table2[[#This Row],[MV Balance]],-1,0))</f>
        <v>11401.190000000002</v>
      </c>
      <c r="G232" s="10">
        <f t="shared" ca="1" si="20"/>
        <v>13894.770000000002</v>
      </c>
    </row>
    <row r="233" spans="1:7" x14ac:dyDescent="0.45">
      <c r="A233" s="1">
        <v>45999</v>
      </c>
      <c r="B233" s="18">
        <v>19.600000000000001</v>
      </c>
      <c r="C233" t="s">
        <v>30</v>
      </c>
      <c r="D233" s="3" t="s">
        <v>222</v>
      </c>
      <c r="E233" s="10">
        <f ca="1">IF(Table2[[#This Row],[Spender]]="YEONG",OFFSET(Table2[[#This Row],[My Actual Balance]],-1,0)-Table2[[#This Row],[Amount]],OFFSET(Table2[[#This Row],[My Actual Balance]],-1,0))</f>
        <v>2473.9799999999996</v>
      </c>
      <c r="F233" s="10">
        <f ca="1">IF(Table2[[#This Row],[Spender]]="MV",OFFSET(Table2[[#This Row],[MV Balance]],-1,0)-Table2[[#This Row],[Amount]],OFFSET(Table2[[#This Row],[MV Balance]],-1,0))</f>
        <v>11401.190000000002</v>
      </c>
      <c r="G233" s="10">
        <f t="shared" ca="1" si="20"/>
        <v>13875.170000000002</v>
      </c>
    </row>
    <row r="234" spans="1:7" x14ac:dyDescent="0.45">
      <c r="A234" s="1">
        <v>46002</v>
      </c>
      <c r="B234" s="18">
        <v>4800</v>
      </c>
      <c r="C234" t="s">
        <v>11</v>
      </c>
      <c r="D234" s="3" t="s">
        <v>271</v>
      </c>
      <c r="E234" s="10">
        <f ca="1">IF(Table2[[#This Row],[Spender]]="YEONG",OFFSET(Table2[[#This Row],[My Actual Balance]],-1,0)-Table2[[#This Row],[Amount]],OFFSET(Table2[[#This Row],[My Actual Balance]],-1,0))</f>
        <v>2473.9799999999996</v>
      </c>
      <c r="F234" s="10">
        <f ca="1">IF(Table2[[#This Row],[Spender]]="MV",OFFSET(Table2[[#This Row],[MV Balance]],-1,0)-Table2[[#This Row],[Amount]],OFFSET(Table2[[#This Row],[MV Balance]],-1,0))</f>
        <v>6601.1900000000023</v>
      </c>
      <c r="G234" s="10">
        <f t="shared" ca="1" si="20"/>
        <v>9075.1700000000019</v>
      </c>
    </row>
    <row r="235" spans="1:7" x14ac:dyDescent="0.45">
      <c r="A235" s="1">
        <v>46002</v>
      </c>
      <c r="B235" s="18">
        <v>4900</v>
      </c>
      <c r="C235" t="s">
        <v>11</v>
      </c>
      <c r="D235" s="3" t="s">
        <v>272</v>
      </c>
      <c r="E235" s="10">
        <f ca="1">IF(Table2[[#This Row],[Spender]]="YEONG",OFFSET(Table2[[#This Row],[My Actual Balance]],-1,0)-Table2[[#This Row],[Amount]],OFFSET(Table2[[#This Row],[My Actual Balance]],-1,0))</f>
        <v>2473.9799999999996</v>
      </c>
      <c r="F235" s="10">
        <f ca="1">IF(Table2[[#This Row],[Spender]]="MV",OFFSET(Table2[[#This Row],[MV Balance]],-1,0)-Table2[[#This Row],[Amount]],OFFSET(Table2[[#This Row],[MV Balance]],-1,0))</f>
        <v>1701.1900000000023</v>
      </c>
      <c r="G235" s="10">
        <f t="shared" ca="1" si="20"/>
        <v>4175.1700000000019</v>
      </c>
    </row>
    <row r="236" spans="1:7" x14ac:dyDescent="0.45">
      <c r="A236" s="1">
        <v>46003</v>
      </c>
      <c r="B236" s="18">
        <v>690.25</v>
      </c>
      <c r="C236" t="s">
        <v>11</v>
      </c>
      <c r="D236" s="3" t="s">
        <v>224</v>
      </c>
      <c r="E236" s="10">
        <f ca="1">IF(Table2[[#This Row],[Spender]]="YEONG",OFFSET(Table2[[#This Row],[My Actual Balance]],-1,0)-Table2[[#This Row],[Amount]],OFFSET(Table2[[#This Row],[My Actual Balance]],-1,0))</f>
        <v>2473.9799999999996</v>
      </c>
      <c r="F236" s="10">
        <f ca="1">IF(Table2[[#This Row],[Spender]]="MV",OFFSET(Table2[[#This Row],[MV Balance]],-1,0)-Table2[[#This Row],[Amount]],OFFSET(Table2[[#This Row],[MV Balance]],-1,0))</f>
        <v>1010.9400000000023</v>
      </c>
      <c r="G236" s="10">
        <f t="shared" ca="1" si="20"/>
        <v>3484.9200000000019</v>
      </c>
    </row>
    <row r="237" spans="1:7" x14ac:dyDescent="0.45">
      <c r="A237" s="1">
        <v>46008</v>
      </c>
      <c r="B237" s="18">
        <v>4042</v>
      </c>
      <c r="C237" t="s">
        <v>11</v>
      </c>
      <c r="D237" s="3" t="s">
        <v>273</v>
      </c>
      <c r="E237" s="10">
        <f ca="1">IF(Table2[[#This Row],[Spender]]="YEONG",OFFSET(Table2[[#This Row],[My Actual Balance]],-1,0)-Table2[[#This Row],[Amount]],OFFSET(Table2[[#This Row],[My Actual Balance]],-1,0))</f>
        <v>2473.9799999999996</v>
      </c>
      <c r="F237" s="10">
        <f ca="1">IF(Table2[[#This Row],[Spender]]="MV",OFFSET(Table2[[#This Row],[MV Balance]],-1,0)-Table2[[#This Row],[Amount]],OFFSET(Table2[[#This Row],[MV Balance]],-1,0))</f>
        <v>-3031.0599999999977</v>
      </c>
      <c r="G237" s="10">
        <f t="shared" ref="G237:G249" ca="1" si="21">SUM(E237:F237)</f>
        <v>-557.07999999999811</v>
      </c>
    </row>
    <row r="238" spans="1:7" x14ac:dyDescent="0.45">
      <c r="A238" s="1">
        <v>46003</v>
      </c>
      <c r="B238" s="18">
        <v>-10000</v>
      </c>
      <c r="C238" t="s">
        <v>11</v>
      </c>
      <c r="D238" s="3" t="s">
        <v>211</v>
      </c>
      <c r="E238" s="10">
        <f ca="1">IF(Table2[[#This Row],[Spender]]="YEONG",OFFSET(Table2[[#This Row],[My Actual Balance]],-1,0)-Table2[[#This Row],[Amount]],OFFSET(Table2[[#This Row],[My Actual Balance]],-1,0))</f>
        <v>2473.9799999999996</v>
      </c>
      <c r="F238" s="10">
        <f ca="1">IF(Table2[[#This Row],[Spender]]="MV",OFFSET(Table2[[#This Row],[MV Balance]],-1,0)-Table2[[#This Row],[Amount]],OFFSET(Table2[[#This Row],[MV Balance]],-1,0))</f>
        <v>6968.9400000000023</v>
      </c>
      <c r="G238" s="10">
        <f t="shared" ca="1" si="21"/>
        <v>9442.9200000000019</v>
      </c>
    </row>
    <row r="239" spans="1:7" x14ac:dyDescent="0.45">
      <c r="A239" s="1">
        <v>46003</v>
      </c>
      <c r="B239" s="18">
        <v>-0.97</v>
      </c>
      <c r="C239" t="s">
        <v>30</v>
      </c>
      <c r="D239" s="3" t="s">
        <v>247</v>
      </c>
      <c r="E239" s="10">
        <f ca="1">IF(Table2[[#This Row],[Spender]]="YEONG",OFFSET(Table2[[#This Row],[My Actual Balance]],-1,0)-Table2[[#This Row],[Amount]],OFFSET(Table2[[#This Row],[My Actual Balance]],-1,0))</f>
        <v>2474.9499999999994</v>
      </c>
      <c r="F239" s="10">
        <f ca="1">IF(Table2[[#This Row],[Spender]]="MV",OFFSET(Table2[[#This Row],[MV Balance]],-1,0)-Table2[[#This Row],[Amount]],OFFSET(Table2[[#This Row],[MV Balance]],-1,0))</f>
        <v>6968.9400000000023</v>
      </c>
      <c r="G239" s="10">
        <f t="shared" ca="1" si="21"/>
        <v>9443.8900000000012</v>
      </c>
    </row>
    <row r="240" spans="1:7" x14ac:dyDescent="0.45">
      <c r="A240" s="1">
        <v>46012</v>
      </c>
      <c r="B240" s="18">
        <v>121.5</v>
      </c>
      <c r="C240" t="s">
        <v>30</v>
      </c>
      <c r="D240" s="3" t="s">
        <v>274</v>
      </c>
      <c r="E240" s="10">
        <f ca="1">IF(Table2[[#This Row],[Spender]]="YEONG",OFFSET(Table2[[#This Row],[My Actual Balance]],-1,0)-Table2[[#This Row],[Amount]],OFFSET(Table2[[#This Row],[My Actual Balance]],-1,0))</f>
        <v>2353.4499999999994</v>
      </c>
      <c r="F240" s="10">
        <f ca="1">IF(Table2[[#This Row],[Spender]]="MV",OFFSET(Table2[[#This Row],[MV Balance]],-1,0)-Table2[[#This Row],[Amount]],OFFSET(Table2[[#This Row],[MV Balance]],-1,0))</f>
        <v>6968.9400000000023</v>
      </c>
      <c r="G240" s="10">
        <f t="shared" ca="1" si="21"/>
        <v>9322.3900000000012</v>
      </c>
    </row>
    <row r="241" spans="1:7" x14ac:dyDescent="0.45">
      <c r="A241" s="1">
        <v>46012</v>
      </c>
      <c r="B241" s="18">
        <v>30.08</v>
      </c>
      <c r="C241" t="s">
        <v>30</v>
      </c>
      <c r="D241" s="3" t="s">
        <v>222</v>
      </c>
      <c r="E241" s="10">
        <f ca="1">IF(Table2[[#This Row],[Spender]]="YEONG",OFFSET(Table2[[#This Row],[My Actual Balance]],-1,0)-Table2[[#This Row],[Amount]],OFFSET(Table2[[#This Row],[My Actual Balance]],-1,0))</f>
        <v>2323.3699999999994</v>
      </c>
      <c r="F241" s="10">
        <f ca="1">IF(Table2[[#This Row],[Spender]]="MV",OFFSET(Table2[[#This Row],[MV Balance]],-1,0)-Table2[[#This Row],[Amount]],OFFSET(Table2[[#This Row],[MV Balance]],-1,0))</f>
        <v>6968.9400000000023</v>
      </c>
      <c r="G241" s="10">
        <f t="shared" ca="1" si="21"/>
        <v>9292.3100000000013</v>
      </c>
    </row>
    <row r="242" spans="1:7" x14ac:dyDescent="0.45">
      <c r="A242" s="1">
        <v>46012</v>
      </c>
      <c r="B242" s="18">
        <v>41.47</v>
      </c>
      <c r="C242" t="s">
        <v>30</v>
      </c>
      <c r="D242" s="3" t="s">
        <v>222</v>
      </c>
      <c r="E242" s="10">
        <f ca="1">IF(Table2[[#This Row],[Spender]]="YEONG",OFFSET(Table2[[#This Row],[My Actual Balance]],-1,0)-Table2[[#This Row],[Amount]],OFFSET(Table2[[#This Row],[My Actual Balance]],-1,0))</f>
        <v>2281.8999999999996</v>
      </c>
      <c r="F242" s="10">
        <f ca="1">IF(Table2[[#This Row],[Spender]]="MV",OFFSET(Table2[[#This Row],[MV Balance]],-1,0)-Table2[[#This Row],[Amount]],OFFSET(Table2[[#This Row],[MV Balance]],-1,0))</f>
        <v>6968.9400000000023</v>
      </c>
      <c r="G242" s="10">
        <f t="shared" ca="1" si="21"/>
        <v>9250.840000000002</v>
      </c>
    </row>
    <row r="243" spans="1:7" x14ac:dyDescent="0.45">
      <c r="A243" s="1">
        <v>46012</v>
      </c>
      <c r="B243" s="18">
        <v>23.2</v>
      </c>
      <c r="C243" t="s">
        <v>30</v>
      </c>
      <c r="D243" s="3" t="s">
        <v>222</v>
      </c>
      <c r="E243" s="10">
        <f ca="1">IF(Table2[[#This Row],[Spender]]="YEONG",OFFSET(Table2[[#This Row],[My Actual Balance]],-1,0)-Table2[[#This Row],[Amount]],OFFSET(Table2[[#This Row],[My Actual Balance]],-1,0))</f>
        <v>2258.6999999999998</v>
      </c>
      <c r="F243" s="10">
        <f ca="1">IF(Table2[[#This Row],[Spender]]="MV",OFFSET(Table2[[#This Row],[MV Balance]],-1,0)-Table2[[#This Row],[Amount]],OFFSET(Table2[[#This Row],[MV Balance]],-1,0))</f>
        <v>6968.9400000000023</v>
      </c>
      <c r="G243" s="10">
        <f t="shared" ca="1" si="21"/>
        <v>9227.6400000000031</v>
      </c>
    </row>
    <row r="244" spans="1:7" x14ac:dyDescent="0.45">
      <c r="A244" s="1">
        <v>46013</v>
      </c>
      <c r="B244" s="18">
        <v>39.82</v>
      </c>
      <c r="C244" t="s">
        <v>30</v>
      </c>
      <c r="D244" s="3" t="s">
        <v>222</v>
      </c>
      <c r="E244" s="10">
        <f ca="1">IF(Table2[[#This Row],[Spender]]="YEONG",OFFSET(Table2[[#This Row],[My Actual Balance]],-1,0)-Table2[[#This Row],[Amount]],OFFSET(Table2[[#This Row],[My Actual Balance]],-1,0))</f>
        <v>2218.8799999999997</v>
      </c>
      <c r="F244" s="10">
        <f ca="1">IF(Table2[[#This Row],[Spender]]="MV",OFFSET(Table2[[#This Row],[MV Balance]],-1,0)-Table2[[#This Row],[Amount]],OFFSET(Table2[[#This Row],[MV Balance]],-1,0))</f>
        <v>6968.9400000000023</v>
      </c>
      <c r="G244" s="10">
        <f t="shared" ca="1" si="21"/>
        <v>9187.8200000000015</v>
      </c>
    </row>
    <row r="245" spans="1:7" x14ac:dyDescent="0.45">
      <c r="A245" s="1">
        <v>46013</v>
      </c>
      <c r="B245" s="18">
        <v>0.1</v>
      </c>
      <c r="C245" t="s">
        <v>11</v>
      </c>
      <c r="D245" s="3" t="s">
        <v>275</v>
      </c>
      <c r="E245" s="10">
        <f ca="1">IF(Table2[[#This Row],[Spender]]="YEONG",OFFSET(Table2[[#This Row],[My Actual Balance]],-1,0)-Table2[[#This Row],[Amount]],OFFSET(Table2[[#This Row],[My Actual Balance]],-1,0))</f>
        <v>2218.8799999999997</v>
      </c>
      <c r="F245" s="10">
        <f ca="1">IF(Table2[[#This Row],[Spender]]="MV",OFFSET(Table2[[#This Row],[MV Balance]],-1,0)-Table2[[#This Row],[Amount]],OFFSET(Table2[[#This Row],[MV Balance]],-1,0))</f>
        <v>6968.840000000002</v>
      </c>
      <c r="G245" s="10">
        <f t="shared" ca="1" si="21"/>
        <v>9187.7200000000012</v>
      </c>
    </row>
    <row r="246" spans="1:7" x14ac:dyDescent="0.45">
      <c r="A246" s="1">
        <v>46013</v>
      </c>
      <c r="B246" s="18">
        <v>-0.1</v>
      </c>
      <c r="C246" t="s">
        <v>30</v>
      </c>
      <c r="D246" s="3" t="s">
        <v>275</v>
      </c>
      <c r="E246" s="10">
        <f ca="1">IF(Table2[[#This Row],[Spender]]="YEONG",OFFSET(Table2[[#This Row],[My Actual Balance]],-1,0)-Table2[[#This Row],[Amount]],OFFSET(Table2[[#This Row],[My Actual Balance]],-1,0))</f>
        <v>2218.9799999999996</v>
      </c>
      <c r="F246" s="10">
        <f ca="1">IF(Table2[[#This Row],[Spender]]="MV",OFFSET(Table2[[#This Row],[MV Balance]],-1,0)-Table2[[#This Row],[Amount]],OFFSET(Table2[[#This Row],[MV Balance]],-1,0))</f>
        <v>6968.840000000002</v>
      </c>
      <c r="G246" s="10">
        <f t="shared" ca="1" si="21"/>
        <v>9187.8200000000015</v>
      </c>
    </row>
    <row r="247" spans="1:7" x14ac:dyDescent="0.45">
      <c r="A247" s="1">
        <v>46013</v>
      </c>
      <c r="B247" s="18">
        <v>34.07</v>
      </c>
      <c r="C247" t="s">
        <v>11</v>
      </c>
      <c r="D247" s="3" t="s">
        <v>226</v>
      </c>
      <c r="E247" s="10">
        <f ca="1">IF(Table2[[#This Row],[Spender]]="YEONG",OFFSET(Table2[[#This Row],[My Actual Balance]],-1,0)-Table2[[#This Row],[Amount]],OFFSET(Table2[[#This Row],[My Actual Balance]],-1,0))</f>
        <v>2218.9799999999996</v>
      </c>
      <c r="F247" s="10">
        <f ca="1">IF(Table2[[#This Row],[Spender]]="MV",OFFSET(Table2[[#This Row],[MV Balance]],-1,0)-Table2[[#This Row],[Amount]],OFFSET(Table2[[#This Row],[MV Balance]],-1,0))</f>
        <v>6934.7700000000023</v>
      </c>
      <c r="G247" s="10">
        <f t="shared" ca="1" si="21"/>
        <v>9153.7500000000018</v>
      </c>
    </row>
    <row r="248" spans="1:7" x14ac:dyDescent="0.45">
      <c r="A248" s="1">
        <v>46013</v>
      </c>
      <c r="B248" s="18">
        <v>27</v>
      </c>
      <c r="C248" t="s">
        <v>30</v>
      </c>
      <c r="D248" s="3" t="s">
        <v>228</v>
      </c>
      <c r="E248" s="10">
        <f ca="1">IF(Table2[[#This Row],[Spender]]="YEONG",OFFSET(Table2[[#This Row],[My Actual Balance]],-1,0)-Table2[[#This Row],[Amount]],OFFSET(Table2[[#This Row],[My Actual Balance]],-1,0))</f>
        <v>2191.9799999999996</v>
      </c>
      <c r="F248" s="10">
        <f ca="1">IF(Table2[[#This Row],[Spender]]="MV",OFFSET(Table2[[#This Row],[MV Balance]],-1,0)-Table2[[#This Row],[Amount]],OFFSET(Table2[[#This Row],[MV Balance]],-1,0))</f>
        <v>6934.7700000000023</v>
      </c>
      <c r="G248" s="10">
        <f t="shared" ca="1" si="21"/>
        <v>9126.7500000000018</v>
      </c>
    </row>
    <row r="249" spans="1:7" x14ac:dyDescent="0.45">
      <c r="A249" s="1">
        <v>46013</v>
      </c>
      <c r="B249" s="18">
        <v>29.9</v>
      </c>
      <c r="C249" t="s">
        <v>30</v>
      </c>
      <c r="D249" s="3" t="s">
        <v>230</v>
      </c>
      <c r="E249" s="10">
        <f ca="1">IF(Table2[[#This Row],[Spender]]="YEONG",OFFSET(Table2[[#This Row],[My Actual Balance]],-1,0)-Table2[[#This Row],[Amount]],OFFSET(Table2[[#This Row],[My Actual Balance]],-1,0))</f>
        <v>2162.0799999999995</v>
      </c>
      <c r="F249" s="10">
        <f ca="1">IF(Table2[[#This Row],[Spender]]="MV",OFFSET(Table2[[#This Row],[MV Balance]],-1,0)-Table2[[#This Row],[Amount]],OFFSET(Table2[[#This Row],[MV Balance]],-1,0))</f>
        <v>6934.7700000000023</v>
      </c>
      <c r="G249" s="10">
        <f t="shared" ca="1" si="21"/>
        <v>9096.8500000000022</v>
      </c>
    </row>
    <row r="250" spans="1:7" x14ac:dyDescent="0.45">
      <c r="A250" s="1">
        <v>46013</v>
      </c>
      <c r="B250" s="18">
        <v>21</v>
      </c>
      <c r="C250" t="s">
        <v>30</v>
      </c>
      <c r="D250" s="3" t="s">
        <v>276</v>
      </c>
      <c r="E250" s="10">
        <f ca="1">IF(Table2[[#This Row],[Spender]]="YEONG",OFFSET(Table2[[#This Row],[My Actual Balance]],-1,0)-Table2[[#This Row],[Amount]],OFFSET(Table2[[#This Row],[My Actual Balance]],-1,0))</f>
        <v>2141.0799999999995</v>
      </c>
      <c r="F250" s="10">
        <f ca="1">IF(Table2[[#This Row],[Spender]]="MV",OFFSET(Table2[[#This Row],[MV Balance]],-1,0)-Table2[[#This Row],[Amount]],OFFSET(Table2[[#This Row],[MV Balance]],-1,0))</f>
        <v>6934.7700000000023</v>
      </c>
      <c r="G250" s="10">
        <f t="shared" ref="G250:G285" ca="1" si="22">SUM(E250:F250)</f>
        <v>9075.8500000000022</v>
      </c>
    </row>
    <row r="251" spans="1:7" x14ac:dyDescent="0.45">
      <c r="A251" s="1">
        <v>46014</v>
      </c>
      <c r="B251" s="18">
        <v>29.4</v>
      </c>
      <c r="C251" t="s">
        <v>30</v>
      </c>
      <c r="D251" s="3" t="s">
        <v>68</v>
      </c>
      <c r="E251" s="19">
        <f ca="1">IF(Table2[[#This Row],[Spender]]="YEONG",OFFSET(Table2[[#This Row],[My Actual Balance]],-1,0)-Table2[[#This Row],[Amount]],OFFSET(Table2[[#This Row],[My Actual Balance]],-1,0))</f>
        <v>2111.6799999999994</v>
      </c>
      <c r="F251" s="19">
        <f ca="1">IF(Table2[[#This Row],[Spender]]="MV",OFFSET(Table2[[#This Row],[MV Balance]],-1,0)-Table2[[#This Row],[Amount]],OFFSET(Table2[[#This Row],[MV Balance]],-1,0))</f>
        <v>6934.7700000000023</v>
      </c>
      <c r="G251" s="19">
        <f t="shared" ca="1" si="22"/>
        <v>9046.4500000000007</v>
      </c>
    </row>
    <row r="252" spans="1:7" x14ac:dyDescent="0.45">
      <c r="A252" s="1">
        <v>46014</v>
      </c>
      <c r="B252" s="18">
        <v>35</v>
      </c>
      <c r="C252" t="s">
        <v>30</v>
      </c>
      <c r="D252" s="3" t="s">
        <v>232</v>
      </c>
      <c r="E252" s="19">
        <f ca="1">IF(Table2[[#This Row],[Spender]]="YEONG",OFFSET(Table2[[#This Row],[My Actual Balance]],-1,0)-Table2[[#This Row],[Amount]],OFFSET(Table2[[#This Row],[My Actual Balance]],-1,0))</f>
        <v>2076.6799999999994</v>
      </c>
      <c r="F252" s="19">
        <f ca="1">IF(Table2[[#This Row],[Spender]]="MV",OFFSET(Table2[[#This Row],[MV Balance]],-1,0)-Table2[[#This Row],[Amount]],OFFSET(Table2[[#This Row],[MV Balance]],-1,0))</f>
        <v>6934.7700000000023</v>
      </c>
      <c r="G252" s="19">
        <f t="shared" ca="1" si="22"/>
        <v>9011.4500000000007</v>
      </c>
    </row>
    <row r="253" spans="1:7" x14ac:dyDescent="0.45">
      <c r="A253" s="1">
        <v>46014</v>
      </c>
      <c r="B253" s="18">
        <v>36.770000000000003</v>
      </c>
      <c r="C253" t="s">
        <v>30</v>
      </c>
      <c r="D253" s="3" t="s">
        <v>234</v>
      </c>
      <c r="E253" s="19">
        <f ca="1">IF(Table2[[#This Row],[Spender]]="YEONG",OFFSET(Table2[[#This Row],[My Actual Balance]],-1,0)-Table2[[#This Row],[Amount]],OFFSET(Table2[[#This Row],[My Actual Balance]],-1,0))</f>
        <v>2039.9099999999994</v>
      </c>
      <c r="F253" s="19">
        <f ca="1">IF(Table2[[#This Row],[Spender]]="MV",OFFSET(Table2[[#This Row],[MV Balance]],-1,0)-Table2[[#This Row],[Amount]],OFFSET(Table2[[#This Row],[MV Balance]],-1,0))</f>
        <v>6934.7700000000023</v>
      </c>
      <c r="G253" s="19">
        <f t="shared" ca="1" si="22"/>
        <v>8974.6800000000021</v>
      </c>
    </row>
    <row r="254" spans="1:7" x14ac:dyDescent="0.45">
      <c r="A254" s="1">
        <v>46014</v>
      </c>
      <c r="B254" s="18">
        <v>5.6</v>
      </c>
      <c r="C254" t="s">
        <v>30</v>
      </c>
      <c r="D254" s="3" t="s">
        <v>236</v>
      </c>
      <c r="E254" s="19">
        <f ca="1">IF(Table2[[#This Row],[Spender]]="YEONG",OFFSET(Table2[[#This Row],[My Actual Balance]],-1,0)-Table2[[#This Row],[Amount]],OFFSET(Table2[[#This Row],[My Actual Balance]],-1,0))</f>
        <v>2034.3099999999995</v>
      </c>
      <c r="F254" s="19">
        <f ca="1">IF(Table2[[#This Row],[Spender]]="MV",OFFSET(Table2[[#This Row],[MV Balance]],-1,0)-Table2[[#This Row],[Amount]],OFFSET(Table2[[#This Row],[MV Balance]],-1,0))</f>
        <v>6934.7700000000023</v>
      </c>
      <c r="G254" s="19">
        <f t="shared" ca="1" si="22"/>
        <v>8969.0800000000017</v>
      </c>
    </row>
    <row r="255" spans="1:7" x14ac:dyDescent="0.45">
      <c r="A255" s="1">
        <v>46017</v>
      </c>
      <c r="B255" s="18">
        <v>-10000</v>
      </c>
      <c r="C255" t="s">
        <v>11</v>
      </c>
      <c r="D255" s="3" t="s">
        <v>211</v>
      </c>
      <c r="E255" s="19">
        <f ca="1">IF(Table2[[#This Row],[Spender]]="YEONG",OFFSET(Table2[[#This Row],[My Actual Balance]],-1,0)-Table2[[#This Row],[Amount]],OFFSET(Table2[[#This Row],[My Actual Balance]],-1,0))</f>
        <v>2034.3099999999995</v>
      </c>
      <c r="F255" s="19">
        <f ca="1">IF(Table2[[#This Row],[Spender]]="MV",OFFSET(Table2[[#This Row],[MV Balance]],-1,0)-Table2[[#This Row],[Amount]],OFFSET(Table2[[#This Row],[MV Balance]],-1,0))</f>
        <v>16934.770000000004</v>
      </c>
      <c r="G255" s="19">
        <f t="shared" ca="1" si="22"/>
        <v>18969.080000000002</v>
      </c>
    </row>
    <row r="256" spans="1:7" x14ac:dyDescent="0.45">
      <c r="A256" s="1">
        <v>46017</v>
      </c>
      <c r="B256" s="18">
        <v>3200</v>
      </c>
      <c r="C256" t="s">
        <v>11</v>
      </c>
      <c r="D256" s="3" t="s">
        <v>277</v>
      </c>
      <c r="E256" s="19">
        <f ca="1">IF(Table2[[#This Row],[Spender]]="YEONG",OFFSET(Table2[[#This Row],[My Actual Balance]],-1,0)-Table2[[#This Row],[Amount]],OFFSET(Table2[[#This Row],[My Actual Balance]],-1,0))</f>
        <v>2034.3099999999995</v>
      </c>
      <c r="F256" s="19">
        <f ca="1">IF(Table2[[#This Row],[Spender]]="MV",OFFSET(Table2[[#This Row],[MV Balance]],-1,0)-Table2[[#This Row],[Amount]],OFFSET(Table2[[#This Row],[MV Balance]],-1,0))</f>
        <v>13734.770000000004</v>
      </c>
      <c r="G256" s="19">
        <f t="shared" ca="1" si="22"/>
        <v>15769.080000000004</v>
      </c>
    </row>
    <row r="257" spans="1:7" x14ac:dyDescent="0.45">
      <c r="A257" s="1">
        <v>46017</v>
      </c>
      <c r="B257" s="18">
        <v>1895</v>
      </c>
      <c r="C257" t="s">
        <v>11</v>
      </c>
      <c r="D257" s="3" t="s">
        <v>278</v>
      </c>
      <c r="E257" s="19">
        <f ca="1">IF(Table2[[#This Row],[Spender]]="YEONG",OFFSET(Table2[[#This Row],[My Actual Balance]],-1,0)-Table2[[#This Row],[Amount]],OFFSET(Table2[[#This Row],[My Actual Balance]],-1,0))</f>
        <v>2034.3099999999995</v>
      </c>
      <c r="F257" s="19">
        <f ca="1">IF(Table2[[#This Row],[Spender]]="MV",OFFSET(Table2[[#This Row],[MV Balance]],-1,0)-Table2[[#This Row],[Amount]],OFFSET(Table2[[#This Row],[MV Balance]],-1,0))</f>
        <v>11839.770000000004</v>
      </c>
      <c r="G257" s="19">
        <f t="shared" ca="1" si="22"/>
        <v>13874.080000000004</v>
      </c>
    </row>
    <row r="258" spans="1:7" x14ac:dyDescent="0.45">
      <c r="A258" s="1">
        <v>46017</v>
      </c>
      <c r="B258" s="18">
        <v>882.5</v>
      </c>
      <c r="C258" t="s">
        <v>11</v>
      </c>
      <c r="D258" s="3" t="s">
        <v>279</v>
      </c>
      <c r="E258" s="19">
        <f ca="1">IF(Table2[[#This Row],[Spender]]="YEONG",OFFSET(Table2[[#This Row],[My Actual Balance]],-1,0)-Table2[[#This Row],[Amount]],OFFSET(Table2[[#This Row],[My Actual Balance]],-1,0))</f>
        <v>2034.3099999999995</v>
      </c>
      <c r="F258" s="19">
        <f ca="1">IF(Table2[[#This Row],[Spender]]="MV",OFFSET(Table2[[#This Row],[MV Balance]],-1,0)-Table2[[#This Row],[Amount]],OFFSET(Table2[[#This Row],[MV Balance]],-1,0))</f>
        <v>10957.270000000004</v>
      </c>
      <c r="G258" s="19">
        <f t="shared" ca="1" si="22"/>
        <v>12991.580000000004</v>
      </c>
    </row>
    <row r="259" spans="1:7" x14ac:dyDescent="0.45">
      <c r="A259" s="1">
        <v>46017</v>
      </c>
      <c r="B259" s="18">
        <v>200</v>
      </c>
      <c r="C259" t="s">
        <v>30</v>
      </c>
      <c r="D259" s="3" t="s">
        <v>280</v>
      </c>
      <c r="E259" s="19">
        <f ca="1">IF(Table2[[#This Row],[Spender]]="YEONG",OFFSET(Table2[[#This Row],[My Actual Balance]],-1,0)-Table2[[#This Row],[Amount]],OFFSET(Table2[[#This Row],[My Actual Balance]],-1,0))</f>
        <v>1834.3099999999995</v>
      </c>
      <c r="F259" s="19">
        <f ca="1">IF(Table2[[#This Row],[Spender]]="MV",OFFSET(Table2[[#This Row],[MV Balance]],-1,0)-Table2[[#This Row],[Amount]],OFFSET(Table2[[#This Row],[MV Balance]],-1,0))</f>
        <v>10957.270000000004</v>
      </c>
      <c r="G259" s="19">
        <f t="shared" ca="1" si="22"/>
        <v>12791.580000000004</v>
      </c>
    </row>
    <row r="260" spans="1:7" x14ac:dyDescent="0.45">
      <c r="A260" s="1">
        <v>46017</v>
      </c>
      <c r="B260" s="18">
        <v>-30</v>
      </c>
      <c r="C260" t="s">
        <v>30</v>
      </c>
      <c r="D260" s="3" t="s">
        <v>281</v>
      </c>
      <c r="E260" s="19">
        <f ca="1">IF(Table2[[#This Row],[Spender]]="YEONG",OFFSET(Table2[[#This Row],[My Actual Balance]],-1,0)-Table2[[#This Row],[Amount]],OFFSET(Table2[[#This Row],[My Actual Balance]],-1,0))</f>
        <v>1864.3099999999995</v>
      </c>
      <c r="F260" s="19">
        <f ca="1">IF(Table2[[#This Row],[Spender]]="MV",OFFSET(Table2[[#This Row],[MV Balance]],-1,0)-Table2[[#This Row],[Amount]],OFFSET(Table2[[#This Row],[MV Balance]],-1,0))</f>
        <v>10957.270000000004</v>
      </c>
      <c r="G260" s="19">
        <f t="shared" ca="1" si="22"/>
        <v>12821.580000000004</v>
      </c>
    </row>
    <row r="261" spans="1:7" x14ac:dyDescent="0.45">
      <c r="A261" s="1">
        <v>46017</v>
      </c>
      <c r="B261" s="18">
        <v>13.15</v>
      </c>
      <c r="C261" t="s">
        <v>30</v>
      </c>
      <c r="D261" s="3" t="s">
        <v>282</v>
      </c>
      <c r="E261" s="19">
        <f ca="1">IF(Table2[[#This Row],[Spender]]="YEONG",OFFSET(Table2[[#This Row],[My Actual Balance]],-1,0)-Table2[[#This Row],[Amount]],OFFSET(Table2[[#This Row],[My Actual Balance]],-1,0))</f>
        <v>1851.1599999999994</v>
      </c>
      <c r="F261" s="19">
        <f ca="1">IF(Table2[[#This Row],[Spender]]="MV",OFFSET(Table2[[#This Row],[MV Balance]],-1,0)-Table2[[#This Row],[Amount]],OFFSET(Table2[[#This Row],[MV Balance]],-1,0))</f>
        <v>10957.270000000004</v>
      </c>
      <c r="G261" s="19">
        <f t="shared" ca="1" si="22"/>
        <v>12808.430000000004</v>
      </c>
    </row>
    <row r="262" spans="1:7" x14ac:dyDescent="0.45">
      <c r="A262" s="1">
        <v>46017</v>
      </c>
      <c r="B262" s="18">
        <v>26.24</v>
      </c>
      <c r="C262" t="s">
        <v>30</v>
      </c>
      <c r="D262" s="3" t="s">
        <v>282</v>
      </c>
      <c r="E262" s="19">
        <f ca="1">IF(Table2[[#This Row],[Spender]]="YEONG",OFFSET(Table2[[#This Row],[My Actual Balance]],-1,0)-Table2[[#This Row],[Amount]],OFFSET(Table2[[#This Row],[My Actual Balance]],-1,0))</f>
        <v>1824.9199999999994</v>
      </c>
      <c r="F262" s="19">
        <f ca="1">IF(Table2[[#This Row],[Spender]]="MV",OFFSET(Table2[[#This Row],[MV Balance]],-1,0)-Table2[[#This Row],[Amount]],OFFSET(Table2[[#This Row],[MV Balance]],-1,0))</f>
        <v>10957.270000000004</v>
      </c>
      <c r="G262" s="19">
        <f t="shared" ca="1" si="22"/>
        <v>12782.190000000004</v>
      </c>
    </row>
    <row r="263" spans="1:7" x14ac:dyDescent="0.45">
      <c r="A263" s="1">
        <v>46017</v>
      </c>
      <c r="B263" s="18">
        <v>21.98</v>
      </c>
      <c r="C263" t="s">
        <v>30</v>
      </c>
      <c r="D263" s="3" t="s">
        <v>282</v>
      </c>
      <c r="E263" s="19">
        <f ca="1">IF(Table2[[#This Row],[Spender]]="YEONG",OFFSET(Table2[[#This Row],[My Actual Balance]],-1,0)-Table2[[#This Row],[Amount]],OFFSET(Table2[[#This Row],[My Actual Balance]],-1,0))</f>
        <v>1802.9399999999994</v>
      </c>
      <c r="F263" s="19">
        <f ca="1">IF(Table2[[#This Row],[Spender]]="MV",OFFSET(Table2[[#This Row],[MV Balance]],-1,0)-Table2[[#This Row],[Amount]],OFFSET(Table2[[#This Row],[MV Balance]],-1,0))</f>
        <v>10957.270000000004</v>
      </c>
      <c r="G263" s="19">
        <f t="shared" ca="1" si="22"/>
        <v>12760.210000000003</v>
      </c>
    </row>
    <row r="264" spans="1:7" x14ac:dyDescent="0.45">
      <c r="A264" s="1">
        <v>46017</v>
      </c>
      <c r="B264" s="18">
        <v>10.3</v>
      </c>
      <c r="C264" t="s">
        <v>30</v>
      </c>
      <c r="D264" s="3" t="s">
        <v>282</v>
      </c>
      <c r="E264" s="19">
        <f ca="1">IF(Table2[[#This Row],[Spender]]="YEONG",OFFSET(Table2[[#This Row],[My Actual Balance]],-1,0)-Table2[[#This Row],[Amount]],OFFSET(Table2[[#This Row],[My Actual Balance]],-1,0))</f>
        <v>1792.6399999999994</v>
      </c>
      <c r="F264" s="19">
        <f ca="1">IF(Table2[[#This Row],[Spender]]="MV",OFFSET(Table2[[#This Row],[MV Balance]],-1,0)-Table2[[#This Row],[Amount]],OFFSET(Table2[[#This Row],[MV Balance]],-1,0))</f>
        <v>10957.270000000004</v>
      </c>
      <c r="G264" s="19">
        <f t="shared" ca="1" si="22"/>
        <v>12749.910000000003</v>
      </c>
    </row>
    <row r="265" spans="1:7" x14ac:dyDescent="0.45">
      <c r="A265" s="1">
        <v>46017</v>
      </c>
      <c r="B265" s="18">
        <v>27</v>
      </c>
      <c r="C265" t="s">
        <v>30</v>
      </c>
      <c r="D265" s="3" t="s">
        <v>282</v>
      </c>
      <c r="E265" s="19">
        <f ca="1">IF(Table2[[#This Row],[Spender]]="YEONG",OFFSET(Table2[[#This Row],[My Actual Balance]],-1,0)-Table2[[#This Row],[Amount]],OFFSET(Table2[[#This Row],[My Actual Balance]],-1,0))</f>
        <v>1765.6399999999994</v>
      </c>
      <c r="F265" s="19">
        <f ca="1">IF(Table2[[#This Row],[Spender]]="MV",OFFSET(Table2[[#This Row],[MV Balance]],-1,0)-Table2[[#This Row],[Amount]],OFFSET(Table2[[#This Row],[MV Balance]],-1,0))</f>
        <v>10957.270000000004</v>
      </c>
      <c r="G265" s="19">
        <f t="shared" ca="1" si="22"/>
        <v>12722.910000000003</v>
      </c>
    </row>
    <row r="266" spans="1:7" x14ac:dyDescent="0.45">
      <c r="A266" s="1">
        <v>46017</v>
      </c>
      <c r="B266" s="18">
        <v>28.14</v>
      </c>
      <c r="C266" t="s">
        <v>30</v>
      </c>
      <c r="D266" s="3" t="s">
        <v>282</v>
      </c>
      <c r="E266" s="19">
        <f ca="1">IF(Table2[[#This Row],[Spender]]="YEONG",OFFSET(Table2[[#This Row],[My Actual Balance]],-1,0)-Table2[[#This Row],[Amount]],OFFSET(Table2[[#This Row],[My Actual Balance]],-1,0))</f>
        <v>1737.4999999999993</v>
      </c>
      <c r="F266" s="19">
        <f ca="1">IF(Table2[[#This Row],[Spender]]="MV",OFFSET(Table2[[#This Row],[MV Balance]],-1,0)-Table2[[#This Row],[Amount]],OFFSET(Table2[[#This Row],[MV Balance]],-1,0))</f>
        <v>10957.270000000004</v>
      </c>
      <c r="G266" s="19">
        <f t="shared" ca="1" si="22"/>
        <v>12694.770000000004</v>
      </c>
    </row>
    <row r="267" spans="1:7" x14ac:dyDescent="0.45">
      <c r="A267" s="1">
        <v>46017</v>
      </c>
      <c r="B267" s="18">
        <v>15.42</v>
      </c>
      <c r="C267" t="s">
        <v>30</v>
      </c>
      <c r="D267" s="3" t="s">
        <v>282</v>
      </c>
      <c r="E267" s="19">
        <f ca="1">IF(Table2[[#This Row],[Spender]]="YEONG",OFFSET(Table2[[#This Row],[My Actual Balance]],-1,0)-Table2[[#This Row],[Amount]],OFFSET(Table2[[#This Row],[My Actual Balance]],-1,0))</f>
        <v>1722.0799999999992</v>
      </c>
      <c r="F267" s="19">
        <f ca="1">IF(Table2[[#This Row],[Spender]]="MV",OFFSET(Table2[[#This Row],[MV Balance]],-1,0)-Table2[[#This Row],[Amount]],OFFSET(Table2[[#This Row],[MV Balance]],-1,0))</f>
        <v>10957.270000000004</v>
      </c>
      <c r="G267" s="19">
        <f t="shared" ca="1" si="22"/>
        <v>12679.350000000004</v>
      </c>
    </row>
    <row r="268" spans="1:7" x14ac:dyDescent="0.45">
      <c r="A268" s="1">
        <v>46017</v>
      </c>
      <c r="B268" s="18">
        <v>20.399999999999999</v>
      </c>
      <c r="C268" t="s">
        <v>30</v>
      </c>
      <c r="D268" s="3" t="s">
        <v>282</v>
      </c>
      <c r="E268" s="19">
        <f ca="1">IF(Table2[[#This Row],[Spender]]="YEONG",OFFSET(Table2[[#This Row],[My Actual Balance]],-1,0)-Table2[[#This Row],[Amount]],OFFSET(Table2[[#This Row],[My Actual Balance]],-1,0))</f>
        <v>1701.6799999999992</v>
      </c>
      <c r="F268" s="19">
        <f ca="1">IF(Table2[[#This Row],[Spender]]="MV",OFFSET(Table2[[#This Row],[MV Balance]],-1,0)-Table2[[#This Row],[Amount]],OFFSET(Table2[[#This Row],[MV Balance]],-1,0))</f>
        <v>10957.270000000004</v>
      </c>
      <c r="G268" s="19">
        <f t="shared" ca="1" si="22"/>
        <v>12658.950000000003</v>
      </c>
    </row>
    <row r="269" spans="1:7" x14ac:dyDescent="0.45">
      <c r="A269" s="1">
        <v>46017</v>
      </c>
      <c r="B269" s="18">
        <v>14.9</v>
      </c>
      <c r="C269" t="s">
        <v>30</v>
      </c>
      <c r="D269" s="3" t="s">
        <v>282</v>
      </c>
      <c r="E269" s="19">
        <f ca="1">IF(Table2[[#This Row],[Spender]]="YEONG",OFFSET(Table2[[#This Row],[My Actual Balance]],-1,0)-Table2[[#This Row],[Amount]],OFFSET(Table2[[#This Row],[My Actual Balance]],-1,0))</f>
        <v>1686.7799999999991</v>
      </c>
      <c r="F269" s="19">
        <f ca="1">IF(Table2[[#This Row],[Spender]]="MV",OFFSET(Table2[[#This Row],[MV Balance]],-1,0)-Table2[[#This Row],[Amount]],OFFSET(Table2[[#This Row],[MV Balance]],-1,0))</f>
        <v>10957.270000000004</v>
      </c>
      <c r="G269" s="19">
        <f t="shared" ca="1" si="22"/>
        <v>12644.050000000003</v>
      </c>
    </row>
    <row r="270" spans="1:7" x14ac:dyDescent="0.45">
      <c r="A270" s="1">
        <v>46017</v>
      </c>
      <c r="B270" s="18">
        <v>85</v>
      </c>
      <c r="C270" t="s">
        <v>30</v>
      </c>
      <c r="D270" s="3" t="s">
        <v>282</v>
      </c>
      <c r="E270" s="19">
        <f ca="1">IF(Table2[[#This Row],[Spender]]="YEONG",OFFSET(Table2[[#This Row],[My Actual Balance]],-1,0)-Table2[[#This Row],[Amount]],OFFSET(Table2[[#This Row],[My Actual Balance]],-1,0))</f>
        <v>1601.7799999999991</v>
      </c>
      <c r="F270" s="19">
        <f ca="1">IF(Table2[[#This Row],[Spender]]="MV",OFFSET(Table2[[#This Row],[MV Balance]],-1,0)-Table2[[#This Row],[Amount]],OFFSET(Table2[[#This Row],[MV Balance]],-1,0))</f>
        <v>10957.270000000004</v>
      </c>
      <c r="G270" s="19">
        <f t="shared" ca="1" si="22"/>
        <v>12559.050000000003</v>
      </c>
    </row>
    <row r="271" spans="1:7" x14ac:dyDescent="0.45">
      <c r="A271" s="1">
        <v>46017</v>
      </c>
      <c r="B271" s="18">
        <v>13.2</v>
      </c>
      <c r="C271" t="s">
        <v>30</v>
      </c>
      <c r="D271" s="3" t="s">
        <v>282</v>
      </c>
      <c r="E271" s="19">
        <f ca="1">IF(Table2[[#This Row],[Spender]]="YEONG",OFFSET(Table2[[#This Row],[My Actual Balance]],-1,0)-Table2[[#This Row],[Amount]],OFFSET(Table2[[#This Row],[My Actual Balance]],-1,0))</f>
        <v>1588.579999999999</v>
      </c>
      <c r="F271" s="19">
        <f ca="1">IF(Table2[[#This Row],[Spender]]="MV",OFFSET(Table2[[#This Row],[MV Balance]],-1,0)-Table2[[#This Row],[Amount]],OFFSET(Table2[[#This Row],[MV Balance]],-1,0))</f>
        <v>10957.270000000004</v>
      </c>
      <c r="G271" s="19">
        <f t="shared" ca="1" si="22"/>
        <v>12545.850000000002</v>
      </c>
    </row>
    <row r="272" spans="1:7" x14ac:dyDescent="0.45">
      <c r="A272" s="1">
        <v>46017</v>
      </c>
      <c r="B272" s="18">
        <v>1</v>
      </c>
      <c r="C272" t="s">
        <v>30</v>
      </c>
      <c r="D272" s="3" t="s">
        <v>282</v>
      </c>
      <c r="E272" s="19">
        <f ca="1">IF(Table2[[#This Row],[Spender]]="YEONG",OFFSET(Table2[[#This Row],[My Actual Balance]],-1,0)-Table2[[#This Row],[Amount]],OFFSET(Table2[[#This Row],[My Actual Balance]],-1,0))</f>
        <v>1587.579999999999</v>
      </c>
      <c r="F272" s="19">
        <f ca="1">IF(Table2[[#This Row],[Spender]]="MV",OFFSET(Table2[[#This Row],[MV Balance]],-1,0)-Table2[[#This Row],[Amount]],OFFSET(Table2[[#This Row],[MV Balance]],-1,0))</f>
        <v>10957.270000000004</v>
      </c>
      <c r="G272" s="19">
        <f t="shared" ca="1" si="22"/>
        <v>12544.850000000002</v>
      </c>
    </row>
    <row r="273" spans="1:7" x14ac:dyDescent="0.45">
      <c r="A273" s="1">
        <v>46017</v>
      </c>
      <c r="B273" s="18">
        <v>32</v>
      </c>
      <c r="C273" t="s">
        <v>30</v>
      </c>
      <c r="D273" s="3" t="s">
        <v>282</v>
      </c>
      <c r="E273" s="19">
        <f ca="1">IF(Table2[[#This Row],[Spender]]="YEONG",OFFSET(Table2[[#This Row],[My Actual Balance]],-1,0)-Table2[[#This Row],[Amount]],OFFSET(Table2[[#This Row],[My Actual Balance]],-1,0))</f>
        <v>1555.579999999999</v>
      </c>
      <c r="F273" s="19">
        <f ca="1">IF(Table2[[#This Row],[Spender]]="MV",OFFSET(Table2[[#This Row],[MV Balance]],-1,0)-Table2[[#This Row],[Amount]],OFFSET(Table2[[#This Row],[MV Balance]],-1,0))</f>
        <v>10957.270000000004</v>
      </c>
      <c r="G273" s="19">
        <f t="shared" ca="1" si="22"/>
        <v>12512.850000000002</v>
      </c>
    </row>
    <row r="274" spans="1:7" x14ac:dyDescent="0.45">
      <c r="A274" s="1">
        <v>46017</v>
      </c>
      <c r="B274" s="18">
        <v>26.96</v>
      </c>
      <c r="C274" t="s">
        <v>30</v>
      </c>
      <c r="D274" s="3" t="s">
        <v>282</v>
      </c>
      <c r="E274" s="19">
        <f ca="1">IF(Table2[[#This Row],[Spender]]="YEONG",OFFSET(Table2[[#This Row],[My Actual Balance]],-1,0)-Table2[[#This Row],[Amount]],OFFSET(Table2[[#This Row],[My Actual Balance]],-1,0))</f>
        <v>1528.619999999999</v>
      </c>
      <c r="F274" s="19">
        <f ca="1">IF(Table2[[#This Row],[Spender]]="MV",OFFSET(Table2[[#This Row],[MV Balance]],-1,0)-Table2[[#This Row],[Amount]],OFFSET(Table2[[#This Row],[MV Balance]],-1,0))</f>
        <v>10957.270000000004</v>
      </c>
      <c r="G274" s="19">
        <f t="shared" ca="1" si="22"/>
        <v>12485.890000000003</v>
      </c>
    </row>
    <row r="275" spans="1:7" x14ac:dyDescent="0.45">
      <c r="A275" s="1">
        <v>46017</v>
      </c>
      <c r="B275" s="18">
        <v>10.6</v>
      </c>
      <c r="C275" t="s">
        <v>30</v>
      </c>
      <c r="D275" s="3" t="s">
        <v>282</v>
      </c>
      <c r="E275" s="19">
        <f ca="1">IF(Table2[[#This Row],[Spender]]="YEONG",OFFSET(Table2[[#This Row],[My Actual Balance]],-1,0)-Table2[[#This Row],[Amount]],OFFSET(Table2[[#This Row],[My Actual Balance]],-1,0))</f>
        <v>1518.0199999999991</v>
      </c>
      <c r="F275" s="19">
        <f ca="1">IF(Table2[[#This Row],[Spender]]="MV",OFFSET(Table2[[#This Row],[MV Balance]],-1,0)-Table2[[#This Row],[Amount]],OFFSET(Table2[[#This Row],[MV Balance]],-1,0))</f>
        <v>10957.270000000004</v>
      </c>
      <c r="G275" s="19">
        <f t="shared" ca="1" si="22"/>
        <v>12475.290000000003</v>
      </c>
    </row>
    <row r="276" spans="1:7" x14ac:dyDescent="0.45">
      <c r="A276" s="1">
        <v>46017</v>
      </c>
      <c r="B276" s="18">
        <v>17.62</v>
      </c>
      <c r="C276" t="s">
        <v>30</v>
      </c>
      <c r="D276" s="3" t="s">
        <v>282</v>
      </c>
      <c r="E276" s="19">
        <f ca="1">IF(Table2[[#This Row],[Spender]]="YEONG",OFFSET(Table2[[#This Row],[My Actual Balance]],-1,0)-Table2[[#This Row],[Amount]],OFFSET(Table2[[#This Row],[My Actual Balance]],-1,0))</f>
        <v>1500.3999999999992</v>
      </c>
      <c r="F276" s="19">
        <f ca="1">IF(Table2[[#This Row],[Spender]]="MV",OFFSET(Table2[[#This Row],[MV Balance]],-1,0)-Table2[[#This Row],[Amount]],OFFSET(Table2[[#This Row],[MV Balance]],-1,0))</f>
        <v>10957.270000000004</v>
      </c>
      <c r="G276" s="19">
        <f t="shared" ca="1" si="22"/>
        <v>12457.670000000004</v>
      </c>
    </row>
    <row r="277" spans="1:7" x14ac:dyDescent="0.45">
      <c r="A277" s="1">
        <v>46017</v>
      </c>
      <c r="B277" s="18">
        <v>300</v>
      </c>
      <c r="C277" t="s">
        <v>30</v>
      </c>
      <c r="D277" s="3" t="s">
        <v>280</v>
      </c>
      <c r="E277" s="19">
        <f ca="1">IF(Table2[[#This Row],[Spender]]="YEONG",OFFSET(Table2[[#This Row],[My Actual Balance]],-1,0)-Table2[[#This Row],[Amount]],OFFSET(Table2[[#This Row],[My Actual Balance]],-1,0))</f>
        <v>1200.3999999999992</v>
      </c>
      <c r="F277" s="19">
        <f ca="1">IF(Table2[[#This Row],[Spender]]="MV",OFFSET(Table2[[#This Row],[MV Balance]],-1,0)-Table2[[#This Row],[Amount]],OFFSET(Table2[[#This Row],[MV Balance]],-1,0))</f>
        <v>10957.270000000004</v>
      </c>
      <c r="G277" s="19">
        <f t="shared" ca="1" si="22"/>
        <v>12157.670000000004</v>
      </c>
    </row>
    <row r="278" spans="1:7" x14ac:dyDescent="0.45">
      <c r="A278" s="1">
        <v>46020</v>
      </c>
      <c r="B278" s="18">
        <v>976</v>
      </c>
      <c r="C278" t="s">
        <v>11</v>
      </c>
      <c r="D278" s="3" t="s">
        <v>283</v>
      </c>
      <c r="E278" s="19">
        <f ca="1">IF(Table2[[#This Row],[Spender]]="YEONG",OFFSET(Table2[[#This Row],[My Actual Balance]],-1,0)-Table2[[#This Row],[Amount]],OFFSET(Table2[[#This Row],[My Actual Balance]],-1,0))</f>
        <v>1200.3999999999992</v>
      </c>
      <c r="F278" s="19">
        <f ca="1">IF(Table2[[#This Row],[Spender]]="MV",OFFSET(Table2[[#This Row],[MV Balance]],-1,0)-Table2[[#This Row],[Amount]],OFFSET(Table2[[#This Row],[MV Balance]],-1,0))</f>
        <v>9981.2700000000041</v>
      </c>
      <c r="G278" s="19">
        <f t="shared" ca="1" si="22"/>
        <v>11181.670000000004</v>
      </c>
    </row>
    <row r="279" spans="1:7" x14ac:dyDescent="0.45">
      <c r="A279" s="1">
        <v>46020</v>
      </c>
      <c r="B279" s="18">
        <v>4800</v>
      </c>
      <c r="C279" t="s">
        <v>11</v>
      </c>
      <c r="D279" s="3" t="s">
        <v>283</v>
      </c>
      <c r="E279" s="19">
        <f ca="1">IF(Table2[[#This Row],[Spender]]="YEONG",OFFSET(Table2[[#This Row],[My Actual Balance]],-1,0)-Table2[[#This Row],[Amount]],OFFSET(Table2[[#This Row],[My Actual Balance]],-1,0))</f>
        <v>1200.3999999999992</v>
      </c>
      <c r="F279" s="19">
        <f ca="1">IF(Table2[[#This Row],[Spender]]="MV",OFFSET(Table2[[#This Row],[MV Balance]],-1,0)-Table2[[#This Row],[Amount]],OFFSET(Table2[[#This Row],[MV Balance]],-1,0))</f>
        <v>5181.2700000000041</v>
      </c>
      <c r="G279" s="19">
        <f t="shared" ca="1" si="22"/>
        <v>6381.6700000000037</v>
      </c>
    </row>
    <row r="280" spans="1:7" x14ac:dyDescent="0.45">
      <c r="A280" s="1">
        <v>46022</v>
      </c>
      <c r="B280" s="18">
        <v>3015</v>
      </c>
      <c r="C280" t="s">
        <v>11</v>
      </c>
      <c r="D280" s="3" t="s">
        <v>284</v>
      </c>
      <c r="E280" s="19">
        <f ca="1">IF(Table2[[#This Row],[Spender]]="YEONG",OFFSET(Table2[[#This Row],[My Actual Balance]],-1,0)-Table2[[#This Row],[Amount]],OFFSET(Table2[[#This Row],[My Actual Balance]],-1,0))</f>
        <v>1200.3999999999992</v>
      </c>
      <c r="F280" s="19">
        <f ca="1">IF(Table2[[#This Row],[Spender]]="MV",OFFSET(Table2[[#This Row],[MV Balance]],-1,0)-Table2[[#This Row],[Amount]],OFFSET(Table2[[#This Row],[MV Balance]],-1,0))</f>
        <v>2166.2700000000041</v>
      </c>
      <c r="G280" s="19">
        <f t="shared" ca="1" si="22"/>
        <v>3366.6700000000033</v>
      </c>
    </row>
    <row r="281" spans="1:7" x14ac:dyDescent="0.45">
      <c r="A281" s="1">
        <v>46024</v>
      </c>
      <c r="B281" s="18">
        <v>805</v>
      </c>
      <c r="C281" t="s">
        <v>11</v>
      </c>
      <c r="D281" s="3" t="s">
        <v>238</v>
      </c>
      <c r="E281" s="19">
        <f ca="1">IF(Table2[[#This Row],[Spender]]="YEONG",OFFSET(Table2[[#This Row],[My Actual Balance]],-1,0)-Table2[[#This Row],[Amount]],OFFSET(Table2[[#This Row],[My Actual Balance]],-1,0))</f>
        <v>1200.3999999999992</v>
      </c>
      <c r="F281" s="19">
        <f ca="1">IF(Table2[[#This Row],[Spender]]="MV",OFFSET(Table2[[#This Row],[MV Balance]],-1,0)-Table2[[#This Row],[Amount]],OFFSET(Table2[[#This Row],[MV Balance]],-1,0))</f>
        <v>1361.2700000000041</v>
      </c>
      <c r="G281" s="19">
        <f t="shared" ca="1" si="22"/>
        <v>2561.6700000000033</v>
      </c>
    </row>
    <row r="282" spans="1:7" x14ac:dyDescent="0.45">
      <c r="A282" s="1">
        <v>46024</v>
      </c>
      <c r="B282" s="18">
        <v>-10000</v>
      </c>
      <c r="C282" t="s">
        <v>11</v>
      </c>
      <c r="D282" s="3" t="s">
        <v>211</v>
      </c>
      <c r="E282" s="19">
        <f ca="1">IF(Table2[[#This Row],[Spender]]="YEONG",OFFSET(Table2[[#This Row],[My Actual Balance]],-1,0)-Table2[[#This Row],[Amount]],OFFSET(Table2[[#This Row],[My Actual Balance]],-1,0))</f>
        <v>1200.3999999999992</v>
      </c>
      <c r="F282" s="19">
        <f ca="1">IF(Table2[[#This Row],[Spender]]="MV",OFFSET(Table2[[#This Row],[MV Balance]],-1,0)-Table2[[#This Row],[Amount]],OFFSET(Table2[[#This Row],[MV Balance]],-1,0))</f>
        <v>11361.270000000004</v>
      </c>
      <c r="G282" s="19">
        <f t="shared" ca="1" si="22"/>
        <v>12561.670000000004</v>
      </c>
    </row>
    <row r="283" spans="1:7" x14ac:dyDescent="0.45">
      <c r="A283" s="1">
        <v>46025</v>
      </c>
      <c r="B283" s="18">
        <v>790</v>
      </c>
      <c r="C283" t="s">
        <v>11</v>
      </c>
      <c r="D283" s="3" t="s">
        <v>285</v>
      </c>
      <c r="E283" s="19">
        <f ca="1">IF(Table2[[#This Row],[Spender]]="YEONG",OFFSET(Table2[[#This Row],[My Actual Balance]],-1,0)-Table2[[#This Row],[Amount]],OFFSET(Table2[[#This Row],[My Actual Balance]],-1,0))</f>
        <v>1200.3999999999992</v>
      </c>
      <c r="F283" s="19">
        <f ca="1">IF(Table2[[#This Row],[Spender]]="MV",OFFSET(Table2[[#This Row],[MV Balance]],-1,0)-Table2[[#This Row],[Amount]],OFFSET(Table2[[#This Row],[MV Balance]],-1,0))</f>
        <v>10571.270000000004</v>
      </c>
      <c r="G283" s="19">
        <f t="shared" ca="1" si="22"/>
        <v>11771.670000000004</v>
      </c>
    </row>
    <row r="284" spans="1:7" x14ac:dyDescent="0.45">
      <c r="A284" s="1">
        <v>46025</v>
      </c>
      <c r="B284" s="18">
        <v>2125</v>
      </c>
      <c r="C284" t="s">
        <v>11</v>
      </c>
      <c r="D284" s="3" t="s">
        <v>288</v>
      </c>
      <c r="E284" s="19">
        <f ca="1">IF(Table2[[#This Row],[Spender]]="YEONG",OFFSET(Table2[[#This Row],[My Actual Balance]],-1,0)-Table2[[#This Row],[Amount]],OFFSET(Table2[[#This Row],[My Actual Balance]],-1,0))</f>
        <v>1200.3999999999992</v>
      </c>
      <c r="F284" s="19">
        <f ca="1">IF(Table2[[#This Row],[Spender]]="MV",OFFSET(Table2[[#This Row],[MV Balance]],-1,0)-Table2[[#This Row],[Amount]],OFFSET(Table2[[#This Row],[MV Balance]],-1,0))</f>
        <v>8446.2700000000041</v>
      </c>
      <c r="G284" s="19">
        <f t="shared" ca="1" si="22"/>
        <v>9646.6700000000037</v>
      </c>
    </row>
    <row r="285" spans="1:7" x14ac:dyDescent="0.45">
      <c r="A285" s="1">
        <v>46028</v>
      </c>
      <c r="B285" s="18">
        <v>5760</v>
      </c>
      <c r="C285" t="s">
        <v>11</v>
      </c>
      <c r="D285" s="3" t="s">
        <v>286</v>
      </c>
      <c r="E285" s="19">
        <f ca="1">IF(Table2[[#This Row],[Spender]]="YEONG",OFFSET(Table2[[#This Row],[My Actual Balance]],-1,0)-Table2[[#This Row],[Amount]],OFFSET(Table2[[#This Row],[My Actual Balance]],-1,0))</f>
        <v>1200.3999999999992</v>
      </c>
      <c r="F285" s="19">
        <f ca="1">IF(Table2[[#This Row],[Spender]]="MV",OFFSET(Table2[[#This Row],[MV Balance]],-1,0)-Table2[[#This Row],[Amount]],OFFSET(Table2[[#This Row],[MV Balance]],-1,0))</f>
        <v>2686.2700000000041</v>
      </c>
      <c r="G285" s="19">
        <f t="shared" ca="1" si="22"/>
        <v>3886.6700000000033</v>
      </c>
    </row>
    <row r="286" spans="1:7" x14ac:dyDescent="0.45">
      <c r="A286" s="1">
        <v>46030</v>
      </c>
      <c r="B286" s="18">
        <v>2017</v>
      </c>
      <c r="C286" t="s">
        <v>11</v>
      </c>
      <c r="D286" s="3" t="s">
        <v>289</v>
      </c>
      <c r="E286" s="10">
        <f ca="1">IF(Table2[[#This Row],[Spender]]="YEONG",OFFSET(Table2[[#This Row],[My Actual Balance]],-1,0)-Table2[[#This Row],[Amount]],OFFSET(Table2[[#This Row],[My Actual Balance]],-1,0))</f>
        <v>1200.3999999999992</v>
      </c>
      <c r="F286" s="10">
        <f ca="1">IF(Table2[[#This Row],[Spender]]="MV",OFFSET(Table2[[#This Row],[MV Balance]],-1,0)-Table2[[#This Row],[Amount]],OFFSET(Table2[[#This Row],[MV Balance]],-1,0))</f>
        <v>669.27000000000407</v>
      </c>
      <c r="G286" s="10">
        <f t="shared" ref="G286:G292" ca="1" si="23">SUM(E286:F286)</f>
        <v>1869.6700000000033</v>
      </c>
    </row>
    <row r="287" spans="1:7" x14ac:dyDescent="0.45">
      <c r="A287" s="1">
        <v>46030</v>
      </c>
      <c r="B287" s="18">
        <v>-10000</v>
      </c>
      <c r="C287" t="s">
        <v>11</v>
      </c>
      <c r="D287" s="3" t="s">
        <v>15</v>
      </c>
      <c r="E287" s="10">
        <f ca="1">IF(Table2[[#This Row],[Spender]]="YEONG",OFFSET(Table2[[#This Row],[My Actual Balance]],-1,0)-Table2[[#This Row],[Amount]],OFFSET(Table2[[#This Row],[My Actual Balance]],-1,0))</f>
        <v>1200.3999999999992</v>
      </c>
      <c r="F287" s="10">
        <f ca="1">IF(Table2[[#This Row],[Spender]]="MV",OFFSET(Table2[[#This Row],[MV Balance]],-1,0)-Table2[[#This Row],[Amount]],OFFSET(Table2[[#This Row],[MV Balance]],-1,0))</f>
        <v>10669.270000000004</v>
      </c>
      <c r="G287" s="10">
        <f t="shared" ca="1" si="23"/>
        <v>11869.670000000004</v>
      </c>
    </row>
    <row r="288" spans="1:7" x14ac:dyDescent="0.45">
      <c r="A288" s="1">
        <v>46031</v>
      </c>
      <c r="B288" s="18">
        <v>2340</v>
      </c>
      <c r="C288" t="s">
        <v>11</v>
      </c>
      <c r="D288" s="3" t="s">
        <v>290</v>
      </c>
      <c r="E288" s="10">
        <f ca="1">IF(Table2[[#This Row],[Spender]]="YEONG",OFFSET(Table2[[#This Row],[My Actual Balance]],-1,0)-Table2[[#This Row],[Amount]],OFFSET(Table2[[#This Row],[My Actual Balance]],-1,0))</f>
        <v>1200.3999999999992</v>
      </c>
      <c r="F288" s="10">
        <f ca="1">IF(Table2[[#This Row],[Spender]]="MV",OFFSET(Table2[[#This Row],[MV Balance]],-1,0)-Table2[[#This Row],[Amount]],OFFSET(Table2[[#This Row],[MV Balance]],-1,0))</f>
        <v>8329.2700000000041</v>
      </c>
      <c r="G288" s="10">
        <f t="shared" ca="1" si="23"/>
        <v>9529.6700000000037</v>
      </c>
    </row>
    <row r="289" spans="1:7" x14ac:dyDescent="0.45">
      <c r="A289" s="1">
        <v>46034</v>
      </c>
      <c r="B289" s="18">
        <v>4635</v>
      </c>
      <c r="C289" t="s">
        <v>11</v>
      </c>
      <c r="D289" s="3" t="s">
        <v>291</v>
      </c>
      <c r="E289" s="10">
        <f ca="1">IF(Table2[[#This Row],[Spender]]="YEONG",OFFSET(Table2[[#This Row],[My Actual Balance]],-1,0)-Table2[[#This Row],[Amount]],OFFSET(Table2[[#This Row],[My Actual Balance]],-1,0))</f>
        <v>1200.3999999999992</v>
      </c>
      <c r="F289" s="10">
        <f ca="1">IF(Table2[[#This Row],[Spender]]="MV",OFFSET(Table2[[#This Row],[MV Balance]],-1,0)-Table2[[#This Row],[Amount]],OFFSET(Table2[[#This Row],[MV Balance]],-1,0))</f>
        <v>3694.2700000000041</v>
      </c>
      <c r="G289" s="10">
        <f t="shared" ca="1" si="23"/>
        <v>4894.6700000000037</v>
      </c>
    </row>
    <row r="290" spans="1:7" x14ac:dyDescent="0.45">
      <c r="A290" s="1">
        <v>46034</v>
      </c>
      <c r="B290" s="18">
        <v>751</v>
      </c>
      <c r="C290" t="s">
        <v>11</v>
      </c>
      <c r="D290" s="3" t="s">
        <v>292</v>
      </c>
      <c r="E290" s="10">
        <f ca="1">IF(Table2[[#This Row],[Spender]]="YEONG",OFFSET(Table2[[#This Row],[My Actual Balance]],-1,0)-Table2[[#This Row],[Amount]],OFFSET(Table2[[#This Row],[My Actual Balance]],-1,0))</f>
        <v>1200.3999999999992</v>
      </c>
      <c r="F290" s="10">
        <f ca="1">IF(Table2[[#This Row],[Spender]]="MV",OFFSET(Table2[[#This Row],[MV Balance]],-1,0)-Table2[[#This Row],[Amount]],OFFSET(Table2[[#This Row],[MV Balance]],-1,0))</f>
        <v>2943.2700000000041</v>
      </c>
      <c r="G290" s="10">
        <f t="shared" ca="1" si="23"/>
        <v>4143.6700000000037</v>
      </c>
    </row>
    <row r="291" spans="1:7" x14ac:dyDescent="0.45">
      <c r="A291" s="1">
        <v>46039</v>
      </c>
      <c r="B291" s="18">
        <v>900.6</v>
      </c>
      <c r="C291" t="s">
        <v>11</v>
      </c>
      <c r="D291" s="3" t="s">
        <v>295</v>
      </c>
      <c r="E291" s="10">
        <f ca="1">IF(Table2[[#This Row],[Spender]]="YEONG",OFFSET(Table2[[#This Row],[My Actual Balance]],-1,0)-Table2[[#This Row],[Amount]],OFFSET(Table2[[#This Row],[My Actual Balance]],-1,0))</f>
        <v>1200.3999999999992</v>
      </c>
      <c r="F291" s="10">
        <f ca="1">IF(Table2[[#This Row],[Spender]]="MV",OFFSET(Table2[[#This Row],[MV Balance]],-1,0)-Table2[[#This Row],[Amount]],OFFSET(Table2[[#This Row],[MV Balance]],-1,0))</f>
        <v>2042.6700000000042</v>
      </c>
      <c r="G291" s="10">
        <f t="shared" ca="1" si="23"/>
        <v>3243.0700000000033</v>
      </c>
    </row>
    <row r="292" spans="1:7" x14ac:dyDescent="0.45">
      <c r="A292" s="1">
        <v>46039</v>
      </c>
      <c r="B292" s="18">
        <v>770</v>
      </c>
      <c r="C292" t="s">
        <v>11</v>
      </c>
      <c r="D292" s="3" t="s">
        <v>296</v>
      </c>
      <c r="E292" s="10">
        <f ca="1">IF(Table2[[#This Row],[Spender]]="YEONG",OFFSET(Table2[[#This Row],[My Actual Balance]],-1,0)-Table2[[#This Row],[Amount]],OFFSET(Table2[[#This Row],[My Actual Balance]],-1,0))</f>
        <v>1200.3999999999992</v>
      </c>
      <c r="F292" s="10">
        <f ca="1">IF(Table2[[#This Row],[Spender]]="MV",OFFSET(Table2[[#This Row],[MV Balance]],-1,0)-Table2[[#This Row],[Amount]],OFFSET(Table2[[#This Row],[MV Balance]],-1,0))</f>
        <v>1272.6700000000042</v>
      </c>
      <c r="G292" s="10">
        <f t="shared" ca="1" si="23"/>
        <v>2473.0700000000033</v>
      </c>
    </row>
    <row r="293" spans="1:7" x14ac:dyDescent="0.45">
      <c r="A293" s="1">
        <v>46041</v>
      </c>
      <c r="B293" s="18">
        <v>613.4</v>
      </c>
      <c r="C293" t="s">
        <v>11</v>
      </c>
      <c r="D293" s="3" t="s">
        <v>297</v>
      </c>
      <c r="E293" s="10">
        <f ca="1">IF(Table2[[#This Row],[Spender]]="YEONG",OFFSET(Table2[[#This Row],[My Actual Balance]],-1,0)-Table2[[#This Row],[Amount]],OFFSET(Table2[[#This Row],[My Actual Balance]],-1,0))</f>
        <v>1200.3999999999992</v>
      </c>
      <c r="F293" s="10">
        <f ca="1">IF(Table2[[#This Row],[Spender]]="MV",OFFSET(Table2[[#This Row],[MV Balance]],-1,0)-Table2[[#This Row],[Amount]],OFFSET(Table2[[#This Row],[MV Balance]],-1,0))</f>
        <v>659.27000000000419</v>
      </c>
      <c r="G293" s="10">
        <f t="shared" ref="G293:G298" ca="1" si="24">SUM(E293:F293)</f>
        <v>1859.6700000000033</v>
      </c>
    </row>
    <row r="294" spans="1:7" x14ac:dyDescent="0.45">
      <c r="A294" s="1">
        <v>46041</v>
      </c>
      <c r="B294" s="18">
        <v>-10000</v>
      </c>
      <c r="C294" t="s">
        <v>11</v>
      </c>
      <c r="D294" s="3" t="s">
        <v>95</v>
      </c>
      <c r="E294" s="28">
        <f ca="1">IF(Table2[[#This Row],[Spender]]="YEONG",OFFSET(Table2[[#This Row],[My Actual Balance]],-1,0)-Table2[[#This Row],[Amount]],OFFSET(Table2[[#This Row],[My Actual Balance]],-1,0))</f>
        <v>1200.3999999999992</v>
      </c>
      <c r="F294" s="28">
        <f ca="1">IF(Table2[[#This Row],[Spender]]="MV",OFFSET(Table2[[#This Row],[MV Balance]],-1,0)-Table2[[#This Row],[Amount]],OFFSET(Table2[[#This Row],[MV Balance]],-1,0))</f>
        <v>10659.270000000004</v>
      </c>
      <c r="G294" s="28">
        <f t="shared" ca="1" si="24"/>
        <v>11859.670000000004</v>
      </c>
    </row>
    <row r="295" spans="1:7" x14ac:dyDescent="0.45">
      <c r="A295" s="1">
        <v>46043</v>
      </c>
      <c r="B295" s="18">
        <v>5815</v>
      </c>
      <c r="C295" t="s">
        <v>11</v>
      </c>
      <c r="D295" s="3" t="s">
        <v>299</v>
      </c>
      <c r="E295" s="10">
        <f ca="1">IF(Table2[[#This Row],[Spender]]="YEONG",OFFSET(Table2[[#This Row],[My Actual Balance]],-1,0)-Table2[[#This Row],[Amount]],OFFSET(Table2[[#This Row],[My Actual Balance]],-1,0))</f>
        <v>1200.3999999999992</v>
      </c>
      <c r="F295" s="10">
        <f ca="1">IF(Table2[[#This Row],[Spender]]="MV",OFFSET(Table2[[#This Row],[MV Balance]],-1,0)-Table2[[#This Row],[Amount]],OFFSET(Table2[[#This Row],[MV Balance]],-1,0))</f>
        <v>4844.2700000000041</v>
      </c>
      <c r="G295" s="10">
        <f t="shared" ca="1" si="24"/>
        <v>6044.6700000000037</v>
      </c>
    </row>
    <row r="296" spans="1:7" x14ac:dyDescent="0.45">
      <c r="A296" s="1">
        <v>46045</v>
      </c>
      <c r="B296" s="18">
        <v>1080.24</v>
      </c>
      <c r="C296" t="s">
        <v>11</v>
      </c>
      <c r="D296" s="3" t="s">
        <v>300</v>
      </c>
      <c r="E296" s="10">
        <f ca="1">IF(Table2[[#This Row],[Spender]]="YEONG",OFFSET(Table2[[#This Row],[My Actual Balance]],-1,0)-Table2[[#This Row],[Amount]],OFFSET(Table2[[#This Row],[My Actual Balance]],-1,0))</f>
        <v>1200.3999999999992</v>
      </c>
      <c r="F296" s="10">
        <f ca="1">IF(Table2[[#This Row],[Spender]]="MV",OFFSET(Table2[[#This Row],[MV Balance]],-1,0)-Table2[[#This Row],[Amount]],OFFSET(Table2[[#This Row],[MV Balance]],-1,0))</f>
        <v>3764.0300000000043</v>
      </c>
      <c r="G296" s="10">
        <f t="shared" ca="1" si="24"/>
        <v>4964.4300000000039</v>
      </c>
    </row>
    <row r="297" spans="1:7" x14ac:dyDescent="0.45">
      <c r="A297" s="1">
        <v>46045</v>
      </c>
      <c r="B297" s="18">
        <v>3800</v>
      </c>
      <c r="C297" t="s">
        <v>11</v>
      </c>
      <c r="D297" s="3" t="s">
        <v>301</v>
      </c>
      <c r="E297" s="29">
        <f ca="1">IF(Table2[[#This Row],[Spender]]="YEONG",OFFSET(Table2[[#This Row],[My Actual Balance]],-1,0)-Table2[[#This Row],[Amount]],OFFSET(Table2[[#This Row],[My Actual Balance]],-1,0))</f>
        <v>1200.3999999999992</v>
      </c>
      <c r="F297" s="29">
        <f ca="1">IF(Table2[[#This Row],[Spender]]="MV",OFFSET(Table2[[#This Row],[MV Balance]],-1,0)-Table2[[#This Row],[Amount]],OFFSET(Table2[[#This Row],[MV Balance]],-1,0))</f>
        <v>-35.969999999995707</v>
      </c>
      <c r="G297" s="29">
        <f t="shared" ca="1" si="24"/>
        <v>1164.4300000000035</v>
      </c>
    </row>
    <row r="298" spans="1:7" x14ac:dyDescent="0.45">
      <c r="A298" s="1">
        <v>46046</v>
      </c>
      <c r="B298" s="18">
        <v>900</v>
      </c>
      <c r="C298" t="s">
        <v>11</v>
      </c>
      <c r="D298" s="3" t="s">
        <v>302</v>
      </c>
      <c r="E298" s="10">
        <f ca="1">IF(Table2[[#This Row],[Spender]]="YEONG",OFFSET(Table2[[#This Row],[My Actual Balance]],-1,0)-Table2[[#This Row],[Amount]],OFFSET(Table2[[#This Row],[My Actual Balance]],-1,0))</f>
        <v>1200.3999999999992</v>
      </c>
      <c r="F298" s="10">
        <f ca="1">IF(Table2[[#This Row],[Spender]]="MV",OFFSET(Table2[[#This Row],[MV Balance]],-1,0)-Table2[[#This Row],[Amount]],OFFSET(Table2[[#This Row],[MV Balance]],-1,0))</f>
        <v>-935.96999999999571</v>
      </c>
      <c r="G298" s="10">
        <f t="shared" ca="1" si="24"/>
        <v>264.43000000000347</v>
      </c>
    </row>
    <row r="299" spans="1:7" x14ac:dyDescent="0.45">
      <c r="A299" s="1">
        <v>46048</v>
      </c>
      <c r="B299" s="18">
        <v>-10000</v>
      </c>
      <c r="C299" t="s">
        <v>11</v>
      </c>
      <c r="D299" s="3" t="s">
        <v>95</v>
      </c>
      <c r="E299" s="10">
        <f ca="1">IF(Table2[[#This Row],[Spender]]="YEONG",OFFSET(Table2[[#This Row],[My Actual Balance]],-1,0)-Table2[[#This Row],[Amount]],OFFSET(Table2[[#This Row],[My Actual Balance]],-1,0))</f>
        <v>1200.3999999999992</v>
      </c>
      <c r="F299" s="10">
        <f ca="1">IF(Table2[[#This Row],[Spender]]="MV",OFFSET(Table2[[#This Row],[MV Balance]],-1,0)-Table2[[#This Row],[Amount]],OFFSET(Table2[[#This Row],[MV Balance]],-1,0))</f>
        <v>9064.0300000000043</v>
      </c>
      <c r="G299" s="10">
        <f ca="1">SUM(E299:F299)</f>
        <v>10264.430000000004</v>
      </c>
    </row>
    <row r="300" spans="1:7" x14ac:dyDescent="0.45">
      <c r="A300" s="1">
        <v>46049</v>
      </c>
      <c r="B300" s="18">
        <v>383.12</v>
      </c>
      <c r="C300" t="s">
        <v>30</v>
      </c>
      <c r="D300" s="3" t="s">
        <v>304</v>
      </c>
      <c r="E300" s="30">
        <f ca="1">IF(Table2[[#This Row],[Spender]]="YEONG",OFFSET(Table2[[#This Row],[My Actual Balance]],-1,0)-Table2[[#This Row],[Amount]],OFFSET(Table2[[#This Row],[My Actual Balance]],-1,0))</f>
        <v>817.27999999999918</v>
      </c>
      <c r="F300" s="30">
        <f ca="1">IF(Table2[[#This Row],[Spender]]="MV",OFFSET(Table2[[#This Row],[MV Balance]],-1,0)-Table2[[#This Row],[Amount]],OFFSET(Table2[[#This Row],[MV Balance]],-1,0))</f>
        <v>9064.0300000000043</v>
      </c>
      <c r="G300" s="30">
        <f ca="1">SUM(E300:F300)</f>
        <v>9881.3100000000031</v>
      </c>
    </row>
    <row r="301" spans="1:7" x14ac:dyDescent="0.45">
      <c r="A301" s="1">
        <v>46050</v>
      </c>
      <c r="B301" s="18">
        <v>5776.5</v>
      </c>
      <c r="C301" t="s">
        <v>11</v>
      </c>
      <c r="D301" s="3" t="s">
        <v>305</v>
      </c>
      <c r="E301" s="30">
        <f ca="1">IF(Table2[[#This Row],[Spender]]="YEONG",OFFSET(Table2[[#This Row],[My Actual Balance]],-1,0)-Table2[[#This Row],[Amount]],OFFSET(Table2[[#This Row],[My Actual Balance]],-1,0))</f>
        <v>817.27999999999918</v>
      </c>
      <c r="F301" s="30">
        <f ca="1">IF(Table2[[#This Row],[Spender]]="MV",OFFSET(Table2[[#This Row],[MV Balance]],-1,0)-Table2[[#This Row],[Amount]],OFFSET(Table2[[#This Row],[MV Balance]],-1,0))</f>
        <v>3287.5300000000043</v>
      </c>
      <c r="G301" s="30">
        <f ca="1">SUM(E301:F301)</f>
        <v>4104.8100000000031</v>
      </c>
    </row>
    <row r="302" spans="1:7" x14ac:dyDescent="0.45">
      <c r="A302" s="1">
        <v>46051</v>
      </c>
      <c r="B302" s="18">
        <v>2409</v>
      </c>
      <c r="C302" t="s">
        <v>11</v>
      </c>
      <c r="D302" s="3" t="s">
        <v>307</v>
      </c>
      <c r="E302" s="30">
        <f ca="1">IF(Table2[[#This Row],[Spender]]="YEONG",OFFSET(Table2[[#This Row],[My Actual Balance]],-1,0)-Table2[[#This Row],[Amount]],OFFSET(Table2[[#This Row],[My Actual Balance]],-1,0))</f>
        <v>817.27999999999918</v>
      </c>
      <c r="F302" s="30">
        <f ca="1">IF(Table2[[#This Row],[Spender]]="MV",OFFSET(Table2[[#This Row],[MV Balance]],-1,0)-Table2[[#This Row],[Amount]],OFFSET(Table2[[#This Row],[MV Balance]],-1,0))</f>
        <v>878.53000000000429</v>
      </c>
      <c r="G302" s="30">
        <f ca="1">SUM(E302:F302)</f>
        <v>1695.8100000000036</v>
      </c>
    </row>
    <row r="303" spans="1:7" x14ac:dyDescent="0.45">
      <c r="A303" s="1">
        <v>46061</v>
      </c>
      <c r="B303" s="18">
        <v>125</v>
      </c>
      <c r="C303" t="s">
        <v>30</v>
      </c>
      <c r="D303" s="3" t="s">
        <v>68</v>
      </c>
      <c r="E303" s="30">
        <f ca="1">IF(Table2[[#This Row],[Spender]]="YEONG",OFFSET(Table2[[#This Row],[My Actual Balance]],-1,0)-Table2[[#This Row],[Amount]],OFFSET(Table2[[#This Row],[My Actual Balance]],-1,0))</f>
        <v>692.27999999999918</v>
      </c>
      <c r="F303" s="30">
        <f ca="1">IF(Table2[[#This Row],[Spender]]="MV",OFFSET(Table2[[#This Row],[MV Balance]],-1,0)-Table2[[#This Row],[Amount]],OFFSET(Table2[[#This Row],[MV Balance]],-1,0))</f>
        <v>878.53000000000429</v>
      </c>
      <c r="G303" s="30">
        <f ca="1">SUM(E303:F303)</f>
        <v>1570.8100000000036</v>
      </c>
    </row>
    <row r="304" spans="1:7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  <row r="365" spans="1:1" x14ac:dyDescent="0.45">
      <c r="A365" s="1"/>
    </row>
    <row r="366" spans="1:1" x14ac:dyDescent="0.45">
      <c r="A366" s="1"/>
    </row>
    <row r="367" spans="1:1" x14ac:dyDescent="0.45">
      <c r="A367" s="1"/>
    </row>
    <row r="368" spans="1:1" x14ac:dyDescent="0.45">
      <c r="A368" s="1"/>
    </row>
    <row r="369" spans="1:1" x14ac:dyDescent="0.45">
      <c r="A369" s="1"/>
    </row>
    <row r="370" spans="1:1" x14ac:dyDescent="0.45">
      <c r="A370" s="1"/>
    </row>
    <row r="371" spans="1:1" x14ac:dyDescent="0.45">
      <c r="A371" s="1"/>
    </row>
    <row r="372" spans="1:1" x14ac:dyDescent="0.45">
      <c r="A372" s="1"/>
    </row>
    <row r="373" spans="1:1" x14ac:dyDescent="0.45">
      <c r="A373" s="1"/>
    </row>
    <row r="374" spans="1:1" x14ac:dyDescent="0.45">
      <c r="A374" s="1"/>
    </row>
    <row r="375" spans="1:1" x14ac:dyDescent="0.45">
      <c r="A375" s="1"/>
    </row>
    <row r="376" spans="1:1" x14ac:dyDescent="0.45">
      <c r="A376" s="1"/>
    </row>
    <row r="377" spans="1:1" x14ac:dyDescent="0.45">
      <c r="A377" s="1"/>
    </row>
    <row r="378" spans="1:1" x14ac:dyDescent="0.45">
      <c r="A378" s="1"/>
    </row>
    <row r="379" spans="1:1" x14ac:dyDescent="0.45">
      <c r="A379" s="1"/>
    </row>
    <row r="380" spans="1:1" x14ac:dyDescent="0.45">
      <c r="A380" s="1"/>
    </row>
    <row r="381" spans="1:1" x14ac:dyDescent="0.45">
      <c r="A381" s="1"/>
    </row>
    <row r="382" spans="1:1" x14ac:dyDescent="0.45">
      <c r="A382" s="1"/>
    </row>
    <row r="383" spans="1:1" x14ac:dyDescent="0.45">
      <c r="A383" s="1"/>
    </row>
    <row r="384" spans="1:1" x14ac:dyDescent="0.45">
      <c r="A384" s="1"/>
    </row>
    <row r="385" spans="1:1" x14ac:dyDescent="0.45">
      <c r="A385" s="1"/>
    </row>
    <row r="386" spans="1:1" x14ac:dyDescent="0.45">
      <c r="A386" s="1"/>
    </row>
    <row r="387" spans="1:1" x14ac:dyDescent="0.45">
      <c r="A387" s="1"/>
    </row>
    <row r="388" spans="1:1" x14ac:dyDescent="0.45">
      <c r="A388" s="1"/>
    </row>
    <row r="389" spans="1:1" x14ac:dyDescent="0.45">
      <c r="A389" s="1"/>
    </row>
    <row r="390" spans="1:1" x14ac:dyDescent="0.45">
      <c r="A390" s="1"/>
    </row>
    <row r="391" spans="1:1" x14ac:dyDescent="0.45">
      <c r="A391" s="1"/>
    </row>
    <row r="392" spans="1:1" x14ac:dyDescent="0.45">
      <c r="A392" s="1"/>
    </row>
    <row r="393" spans="1:1" x14ac:dyDescent="0.45">
      <c r="A393" s="1"/>
    </row>
    <row r="394" spans="1:1" x14ac:dyDescent="0.45">
      <c r="A394" s="1"/>
    </row>
    <row r="395" spans="1:1" x14ac:dyDescent="0.45">
      <c r="A395" s="1"/>
    </row>
    <row r="396" spans="1:1" x14ac:dyDescent="0.45">
      <c r="A396" s="1"/>
    </row>
    <row r="397" spans="1:1" x14ac:dyDescent="0.45">
      <c r="A397" s="1"/>
    </row>
    <row r="398" spans="1:1" x14ac:dyDescent="0.45">
      <c r="A398" s="1"/>
    </row>
    <row r="399" spans="1:1" x14ac:dyDescent="0.45">
      <c r="A399" s="1"/>
    </row>
    <row r="400" spans="1:1" x14ac:dyDescent="0.45">
      <c r="A400" s="1"/>
    </row>
    <row r="401" spans="1:1" x14ac:dyDescent="0.45">
      <c r="A401" s="1"/>
    </row>
    <row r="402" spans="1:1" x14ac:dyDescent="0.45">
      <c r="A402" s="1"/>
    </row>
    <row r="403" spans="1:1" x14ac:dyDescent="0.45">
      <c r="A403" s="1"/>
    </row>
    <row r="404" spans="1:1" x14ac:dyDescent="0.45">
      <c r="A404" s="1"/>
    </row>
    <row r="405" spans="1:1" x14ac:dyDescent="0.45">
      <c r="A405" s="1"/>
    </row>
    <row r="406" spans="1:1" x14ac:dyDescent="0.45">
      <c r="A406" s="1"/>
    </row>
    <row r="407" spans="1:1" x14ac:dyDescent="0.45">
      <c r="A407" s="1"/>
    </row>
    <row r="408" spans="1:1" x14ac:dyDescent="0.45">
      <c r="A408" s="1"/>
    </row>
    <row r="409" spans="1:1" x14ac:dyDescent="0.45">
      <c r="A409" s="1"/>
    </row>
    <row r="410" spans="1:1" x14ac:dyDescent="0.45">
      <c r="A410" s="1"/>
    </row>
    <row r="411" spans="1:1" x14ac:dyDescent="0.45">
      <c r="A411" s="1"/>
    </row>
    <row r="412" spans="1:1" x14ac:dyDescent="0.45">
      <c r="A412" s="1"/>
    </row>
    <row r="413" spans="1:1" x14ac:dyDescent="0.45">
      <c r="A413" s="1"/>
    </row>
    <row r="414" spans="1:1" x14ac:dyDescent="0.45">
      <c r="A414" s="1"/>
    </row>
    <row r="415" spans="1:1" x14ac:dyDescent="0.45">
      <c r="A415" s="1"/>
    </row>
    <row r="416" spans="1:1" x14ac:dyDescent="0.45">
      <c r="A416" s="1"/>
    </row>
    <row r="417" spans="1:1" x14ac:dyDescent="0.45">
      <c r="A417" s="1"/>
    </row>
    <row r="418" spans="1:1" x14ac:dyDescent="0.45">
      <c r="A418" s="1"/>
    </row>
    <row r="419" spans="1:1" x14ac:dyDescent="0.45">
      <c r="A419" s="1"/>
    </row>
    <row r="420" spans="1:1" x14ac:dyDescent="0.45">
      <c r="A420" s="1"/>
    </row>
    <row r="421" spans="1:1" x14ac:dyDescent="0.45">
      <c r="A421" s="1"/>
    </row>
    <row r="422" spans="1:1" x14ac:dyDescent="0.45">
      <c r="A422" s="1"/>
    </row>
    <row r="423" spans="1:1" x14ac:dyDescent="0.45">
      <c r="A423" s="1"/>
    </row>
    <row r="424" spans="1:1" x14ac:dyDescent="0.45">
      <c r="A424" s="1"/>
    </row>
    <row r="425" spans="1:1" x14ac:dyDescent="0.45">
      <c r="A425" s="1"/>
    </row>
    <row r="426" spans="1:1" x14ac:dyDescent="0.45">
      <c r="A426" s="1"/>
    </row>
    <row r="427" spans="1:1" x14ac:dyDescent="0.45">
      <c r="A427" s="1"/>
    </row>
    <row r="428" spans="1:1" x14ac:dyDescent="0.45">
      <c r="A428" s="1"/>
    </row>
    <row r="429" spans="1:1" x14ac:dyDescent="0.45">
      <c r="A429" s="1"/>
    </row>
    <row r="430" spans="1:1" x14ac:dyDescent="0.45">
      <c r="A430" s="1"/>
    </row>
    <row r="431" spans="1:1" x14ac:dyDescent="0.45">
      <c r="A431" s="1"/>
    </row>
    <row r="432" spans="1:1" x14ac:dyDescent="0.45">
      <c r="A432" s="1"/>
    </row>
    <row r="433" spans="1:1" x14ac:dyDescent="0.45">
      <c r="A433" s="1"/>
    </row>
    <row r="434" spans="1:1" x14ac:dyDescent="0.45">
      <c r="A434" s="1"/>
    </row>
    <row r="435" spans="1:1" x14ac:dyDescent="0.45">
      <c r="A435" s="1"/>
    </row>
    <row r="436" spans="1:1" x14ac:dyDescent="0.45">
      <c r="A436" s="1"/>
    </row>
    <row r="437" spans="1:1" x14ac:dyDescent="0.45">
      <c r="A437" s="1"/>
    </row>
    <row r="438" spans="1:1" x14ac:dyDescent="0.45">
      <c r="A438" s="1"/>
    </row>
    <row r="439" spans="1:1" x14ac:dyDescent="0.45">
      <c r="A439" s="1"/>
    </row>
    <row r="440" spans="1:1" x14ac:dyDescent="0.45">
      <c r="A440" s="1"/>
    </row>
    <row r="441" spans="1:1" x14ac:dyDescent="0.45">
      <c r="A441" s="1"/>
    </row>
    <row r="442" spans="1:1" x14ac:dyDescent="0.45">
      <c r="A442" s="1"/>
    </row>
    <row r="443" spans="1:1" x14ac:dyDescent="0.45">
      <c r="A443" s="1"/>
    </row>
    <row r="444" spans="1:1" x14ac:dyDescent="0.45">
      <c r="A444" s="1"/>
    </row>
    <row r="445" spans="1:1" x14ac:dyDescent="0.45">
      <c r="A445" s="1"/>
    </row>
    <row r="446" spans="1:1" x14ac:dyDescent="0.45">
      <c r="A446" s="1"/>
    </row>
    <row r="447" spans="1:1" x14ac:dyDescent="0.45">
      <c r="A447" s="1"/>
    </row>
    <row r="448" spans="1:1" x14ac:dyDescent="0.45">
      <c r="A448" s="1"/>
    </row>
    <row r="449" spans="1:1" x14ac:dyDescent="0.45">
      <c r="A449" s="1"/>
    </row>
    <row r="450" spans="1:1" x14ac:dyDescent="0.45">
      <c r="A450" s="1"/>
    </row>
    <row r="451" spans="1:1" x14ac:dyDescent="0.45">
      <c r="A451" s="1"/>
    </row>
    <row r="452" spans="1:1" x14ac:dyDescent="0.45">
      <c r="A452" s="1"/>
    </row>
    <row r="453" spans="1:1" x14ac:dyDescent="0.45">
      <c r="A453" s="1"/>
    </row>
    <row r="454" spans="1:1" x14ac:dyDescent="0.45">
      <c r="A454" s="1"/>
    </row>
    <row r="455" spans="1:1" x14ac:dyDescent="0.45">
      <c r="A455" s="1"/>
    </row>
    <row r="456" spans="1:1" x14ac:dyDescent="0.45">
      <c r="A456" s="1"/>
    </row>
    <row r="457" spans="1:1" x14ac:dyDescent="0.45">
      <c r="A457" s="1"/>
    </row>
    <row r="458" spans="1:1" x14ac:dyDescent="0.45">
      <c r="A458" s="1"/>
    </row>
    <row r="459" spans="1:1" x14ac:dyDescent="0.45">
      <c r="A459" s="1"/>
    </row>
    <row r="460" spans="1:1" x14ac:dyDescent="0.45">
      <c r="A460" s="1"/>
    </row>
    <row r="461" spans="1:1" x14ac:dyDescent="0.45">
      <c r="A461" s="1"/>
    </row>
    <row r="462" spans="1:1" x14ac:dyDescent="0.45">
      <c r="A462" s="1"/>
    </row>
    <row r="463" spans="1:1" x14ac:dyDescent="0.45">
      <c r="A463" s="1"/>
    </row>
    <row r="464" spans="1:1" x14ac:dyDescent="0.45">
      <c r="A464" s="1"/>
    </row>
    <row r="465" spans="1:1" x14ac:dyDescent="0.45">
      <c r="A465" s="1"/>
    </row>
    <row r="466" spans="1:1" x14ac:dyDescent="0.45">
      <c r="A466" s="1"/>
    </row>
    <row r="467" spans="1:1" x14ac:dyDescent="0.45">
      <c r="A467" s="1"/>
    </row>
    <row r="468" spans="1:1" x14ac:dyDescent="0.45">
      <c r="A468" s="1"/>
    </row>
    <row r="469" spans="1:1" x14ac:dyDescent="0.45">
      <c r="A469" s="1"/>
    </row>
    <row r="470" spans="1:1" x14ac:dyDescent="0.45">
      <c r="A470" s="1"/>
    </row>
    <row r="471" spans="1:1" x14ac:dyDescent="0.45">
      <c r="A471" s="1"/>
    </row>
    <row r="472" spans="1:1" x14ac:dyDescent="0.45">
      <c r="A472" s="1"/>
    </row>
    <row r="473" spans="1:1" x14ac:dyDescent="0.45">
      <c r="A473" s="1"/>
    </row>
    <row r="474" spans="1:1" x14ac:dyDescent="0.45">
      <c r="A474" s="1"/>
    </row>
    <row r="475" spans="1:1" x14ac:dyDescent="0.45">
      <c r="A475" s="1"/>
    </row>
    <row r="476" spans="1:1" x14ac:dyDescent="0.45">
      <c r="A476" s="1"/>
    </row>
    <row r="477" spans="1:1" x14ac:dyDescent="0.45">
      <c r="A477" s="1"/>
    </row>
    <row r="478" spans="1:1" x14ac:dyDescent="0.45">
      <c r="A478" s="1"/>
    </row>
    <row r="479" spans="1:1" x14ac:dyDescent="0.45">
      <c r="A479" s="1"/>
    </row>
    <row r="480" spans="1:1" x14ac:dyDescent="0.45">
      <c r="A480" s="1"/>
    </row>
    <row r="481" spans="1:1" x14ac:dyDescent="0.45">
      <c r="A481" s="1"/>
    </row>
    <row r="482" spans="1:1" x14ac:dyDescent="0.45">
      <c r="A482" s="1"/>
    </row>
    <row r="483" spans="1:1" x14ac:dyDescent="0.45">
      <c r="A483" s="1"/>
    </row>
    <row r="484" spans="1:1" x14ac:dyDescent="0.45">
      <c r="A484" s="1"/>
    </row>
    <row r="485" spans="1:1" x14ac:dyDescent="0.45">
      <c r="A485" s="1"/>
    </row>
    <row r="486" spans="1:1" x14ac:dyDescent="0.45">
      <c r="A486" s="1"/>
    </row>
    <row r="487" spans="1:1" x14ac:dyDescent="0.45">
      <c r="A487" s="1"/>
    </row>
    <row r="488" spans="1:1" x14ac:dyDescent="0.45">
      <c r="A488" s="1"/>
    </row>
    <row r="489" spans="1:1" x14ac:dyDescent="0.45">
      <c r="A489" s="1"/>
    </row>
    <row r="490" spans="1:1" x14ac:dyDescent="0.45">
      <c r="A490" s="1"/>
    </row>
    <row r="491" spans="1:1" x14ac:dyDescent="0.45">
      <c r="A491" s="1"/>
    </row>
    <row r="492" spans="1:1" x14ac:dyDescent="0.45">
      <c r="A492" s="1"/>
    </row>
    <row r="493" spans="1:1" x14ac:dyDescent="0.45">
      <c r="A493" s="1"/>
    </row>
    <row r="494" spans="1:1" x14ac:dyDescent="0.45">
      <c r="A494" s="1"/>
    </row>
    <row r="495" spans="1:1" x14ac:dyDescent="0.45">
      <c r="A495" s="1"/>
    </row>
    <row r="496" spans="1:1" x14ac:dyDescent="0.45">
      <c r="A496" s="1"/>
    </row>
    <row r="497" spans="1:1" x14ac:dyDescent="0.45">
      <c r="A497" s="1"/>
    </row>
    <row r="498" spans="1:1" x14ac:dyDescent="0.45">
      <c r="A498" s="1"/>
    </row>
    <row r="499" spans="1:1" x14ac:dyDescent="0.45">
      <c r="A499" s="1"/>
    </row>
    <row r="500" spans="1:1" x14ac:dyDescent="0.45">
      <c r="A500" s="1"/>
    </row>
    <row r="501" spans="1:1" x14ac:dyDescent="0.45">
      <c r="A501" s="1"/>
    </row>
    <row r="502" spans="1:1" x14ac:dyDescent="0.45">
      <c r="A502" s="1"/>
    </row>
    <row r="503" spans="1:1" x14ac:dyDescent="0.45">
      <c r="A503" s="1"/>
    </row>
    <row r="504" spans="1:1" x14ac:dyDescent="0.45">
      <c r="A504" s="1"/>
    </row>
    <row r="505" spans="1:1" x14ac:dyDescent="0.45">
      <c r="A505" s="1"/>
    </row>
    <row r="506" spans="1:1" x14ac:dyDescent="0.45">
      <c r="A506" s="1"/>
    </row>
    <row r="507" spans="1:1" x14ac:dyDescent="0.45">
      <c r="A507" s="1"/>
    </row>
    <row r="508" spans="1:1" x14ac:dyDescent="0.45">
      <c r="A508" s="1"/>
    </row>
    <row r="509" spans="1:1" x14ac:dyDescent="0.45">
      <c r="A509" s="1"/>
    </row>
    <row r="510" spans="1:1" x14ac:dyDescent="0.45">
      <c r="A510" s="1"/>
    </row>
    <row r="511" spans="1:1" x14ac:dyDescent="0.45">
      <c r="A511" s="1"/>
    </row>
    <row r="512" spans="1:1" x14ac:dyDescent="0.45">
      <c r="A512" s="1"/>
    </row>
    <row r="513" spans="1:1" x14ac:dyDescent="0.45">
      <c r="A513" s="1"/>
    </row>
    <row r="514" spans="1:1" x14ac:dyDescent="0.45">
      <c r="A514" s="1"/>
    </row>
    <row r="515" spans="1:1" x14ac:dyDescent="0.45">
      <c r="A515" s="1"/>
    </row>
    <row r="516" spans="1:1" x14ac:dyDescent="0.45">
      <c r="A516" s="1"/>
    </row>
    <row r="517" spans="1:1" x14ac:dyDescent="0.45">
      <c r="A517" s="1"/>
    </row>
    <row r="518" spans="1:1" x14ac:dyDescent="0.45">
      <c r="A518" s="1"/>
    </row>
    <row r="519" spans="1:1" x14ac:dyDescent="0.45">
      <c r="A519" s="1"/>
    </row>
    <row r="520" spans="1:1" x14ac:dyDescent="0.45">
      <c r="A520" s="1"/>
    </row>
    <row r="521" spans="1:1" x14ac:dyDescent="0.45">
      <c r="A521" s="1"/>
    </row>
    <row r="522" spans="1:1" x14ac:dyDescent="0.45">
      <c r="A522" s="1"/>
    </row>
    <row r="523" spans="1:1" x14ac:dyDescent="0.45">
      <c r="A523" s="1"/>
    </row>
    <row r="524" spans="1:1" x14ac:dyDescent="0.45">
      <c r="A524" s="1"/>
    </row>
    <row r="525" spans="1:1" x14ac:dyDescent="0.45">
      <c r="A525" s="1"/>
    </row>
    <row r="526" spans="1:1" x14ac:dyDescent="0.45">
      <c r="A526" s="1"/>
    </row>
    <row r="527" spans="1:1" x14ac:dyDescent="0.45">
      <c r="A527" s="1"/>
    </row>
    <row r="528" spans="1:1" x14ac:dyDescent="0.45">
      <c r="A528" s="1"/>
    </row>
    <row r="529" spans="1:1" x14ac:dyDescent="0.45">
      <c r="A529" s="1"/>
    </row>
    <row r="530" spans="1:1" x14ac:dyDescent="0.45">
      <c r="A530" s="1"/>
    </row>
    <row r="531" spans="1:1" x14ac:dyDescent="0.45">
      <c r="A531" s="1"/>
    </row>
    <row r="532" spans="1:1" x14ac:dyDescent="0.45">
      <c r="A532" s="1"/>
    </row>
    <row r="533" spans="1:1" x14ac:dyDescent="0.45">
      <c r="A533" s="1"/>
    </row>
    <row r="534" spans="1:1" x14ac:dyDescent="0.45">
      <c r="A534" s="1"/>
    </row>
    <row r="535" spans="1:1" x14ac:dyDescent="0.45">
      <c r="A535" s="1"/>
    </row>
    <row r="536" spans="1:1" x14ac:dyDescent="0.45">
      <c r="A536" s="1"/>
    </row>
    <row r="537" spans="1:1" x14ac:dyDescent="0.45">
      <c r="A537" s="1"/>
    </row>
    <row r="538" spans="1:1" x14ac:dyDescent="0.45">
      <c r="A538" s="1"/>
    </row>
    <row r="539" spans="1:1" x14ac:dyDescent="0.45">
      <c r="A539" s="1"/>
    </row>
    <row r="540" spans="1:1" x14ac:dyDescent="0.45">
      <c r="A540" s="1"/>
    </row>
    <row r="541" spans="1:1" x14ac:dyDescent="0.45">
      <c r="A541" s="1"/>
    </row>
    <row r="542" spans="1:1" x14ac:dyDescent="0.45">
      <c r="A542" s="1"/>
    </row>
    <row r="543" spans="1:1" x14ac:dyDescent="0.45">
      <c r="A543" s="1"/>
    </row>
    <row r="544" spans="1:1" x14ac:dyDescent="0.45">
      <c r="A544" s="1"/>
    </row>
    <row r="545" spans="1:1" x14ac:dyDescent="0.45">
      <c r="A545" s="1"/>
    </row>
    <row r="546" spans="1:1" x14ac:dyDescent="0.45">
      <c r="A546" s="1"/>
    </row>
    <row r="547" spans="1:1" x14ac:dyDescent="0.45">
      <c r="A547" s="1"/>
    </row>
    <row r="548" spans="1:1" x14ac:dyDescent="0.45">
      <c r="A548" s="1"/>
    </row>
    <row r="549" spans="1:1" x14ac:dyDescent="0.45">
      <c r="A549" s="1"/>
    </row>
    <row r="550" spans="1:1" x14ac:dyDescent="0.45">
      <c r="A550" s="1"/>
    </row>
    <row r="551" spans="1:1" x14ac:dyDescent="0.45">
      <c r="A551" s="1"/>
    </row>
    <row r="552" spans="1:1" x14ac:dyDescent="0.45">
      <c r="A552" s="1"/>
    </row>
    <row r="553" spans="1:1" x14ac:dyDescent="0.45">
      <c r="A553" s="1"/>
    </row>
    <row r="554" spans="1:1" x14ac:dyDescent="0.45">
      <c r="A554" s="1"/>
    </row>
    <row r="555" spans="1:1" x14ac:dyDescent="0.45">
      <c r="A555" s="1"/>
    </row>
    <row r="556" spans="1:1" x14ac:dyDescent="0.45">
      <c r="A556" s="1"/>
    </row>
    <row r="557" spans="1:1" x14ac:dyDescent="0.45">
      <c r="A557" s="1"/>
    </row>
    <row r="558" spans="1:1" x14ac:dyDescent="0.45">
      <c r="A558" s="1"/>
    </row>
    <row r="559" spans="1:1" x14ac:dyDescent="0.45">
      <c r="A559" s="1"/>
    </row>
    <row r="560" spans="1:1" x14ac:dyDescent="0.45">
      <c r="A560" s="1"/>
    </row>
    <row r="561" spans="1:1" x14ac:dyDescent="0.45">
      <c r="A561" s="1"/>
    </row>
    <row r="562" spans="1:1" x14ac:dyDescent="0.45">
      <c r="A562" s="1"/>
    </row>
    <row r="563" spans="1:1" x14ac:dyDescent="0.45">
      <c r="A563" s="1"/>
    </row>
    <row r="564" spans="1:1" x14ac:dyDescent="0.45">
      <c r="A564" s="1"/>
    </row>
    <row r="565" spans="1:1" x14ac:dyDescent="0.45">
      <c r="A565" s="1"/>
    </row>
    <row r="566" spans="1:1" x14ac:dyDescent="0.45">
      <c r="A566" s="1"/>
    </row>
    <row r="567" spans="1:1" x14ac:dyDescent="0.45">
      <c r="A567" s="1"/>
    </row>
    <row r="568" spans="1:1" x14ac:dyDescent="0.45">
      <c r="A568" s="1"/>
    </row>
    <row r="569" spans="1:1" x14ac:dyDescent="0.45">
      <c r="A569" s="1"/>
    </row>
    <row r="570" spans="1:1" x14ac:dyDescent="0.45">
      <c r="A570" s="1"/>
    </row>
    <row r="571" spans="1:1" x14ac:dyDescent="0.45">
      <c r="A571" s="1"/>
    </row>
    <row r="572" spans="1:1" x14ac:dyDescent="0.45">
      <c r="A572" s="1"/>
    </row>
    <row r="573" spans="1:1" x14ac:dyDescent="0.45">
      <c r="A573" s="1"/>
    </row>
    <row r="574" spans="1:1" x14ac:dyDescent="0.45">
      <c r="A574" s="1"/>
    </row>
    <row r="575" spans="1:1" x14ac:dyDescent="0.45">
      <c r="A575" s="1"/>
    </row>
    <row r="576" spans="1:1" x14ac:dyDescent="0.45">
      <c r="A576" s="1"/>
    </row>
    <row r="577" spans="1:1" x14ac:dyDescent="0.45">
      <c r="A577" s="1"/>
    </row>
    <row r="578" spans="1:1" x14ac:dyDescent="0.45">
      <c r="A578" s="1"/>
    </row>
    <row r="579" spans="1:1" x14ac:dyDescent="0.45">
      <c r="A579" s="1"/>
    </row>
    <row r="580" spans="1:1" x14ac:dyDescent="0.45">
      <c r="A580" s="1"/>
    </row>
    <row r="581" spans="1:1" x14ac:dyDescent="0.45">
      <c r="A581" s="1"/>
    </row>
    <row r="582" spans="1:1" x14ac:dyDescent="0.45">
      <c r="A582" s="1"/>
    </row>
    <row r="583" spans="1:1" x14ac:dyDescent="0.45">
      <c r="A583" s="1"/>
    </row>
    <row r="584" spans="1:1" x14ac:dyDescent="0.45">
      <c r="A584" s="1"/>
    </row>
    <row r="585" spans="1:1" x14ac:dyDescent="0.45">
      <c r="A585" s="1"/>
    </row>
    <row r="586" spans="1:1" x14ac:dyDescent="0.45">
      <c r="A586" s="1"/>
    </row>
    <row r="587" spans="1:1" x14ac:dyDescent="0.45">
      <c r="A587" s="1"/>
    </row>
    <row r="588" spans="1:1" x14ac:dyDescent="0.45">
      <c r="A588" s="1"/>
    </row>
    <row r="589" spans="1:1" x14ac:dyDescent="0.45">
      <c r="A589" s="1"/>
    </row>
    <row r="590" spans="1:1" x14ac:dyDescent="0.45">
      <c r="A590" s="1"/>
    </row>
    <row r="591" spans="1:1" x14ac:dyDescent="0.45">
      <c r="A591" s="1"/>
    </row>
    <row r="592" spans="1:1" x14ac:dyDescent="0.45">
      <c r="A592" s="1"/>
    </row>
    <row r="593" spans="1:1" x14ac:dyDescent="0.45">
      <c r="A593" s="1"/>
    </row>
    <row r="594" spans="1:1" x14ac:dyDescent="0.45">
      <c r="A594" s="1"/>
    </row>
    <row r="595" spans="1:1" x14ac:dyDescent="0.45">
      <c r="A595" s="1"/>
    </row>
    <row r="596" spans="1:1" x14ac:dyDescent="0.45">
      <c r="A596" s="1"/>
    </row>
    <row r="597" spans="1:1" x14ac:dyDescent="0.45">
      <c r="A597" s="1"/>
    </row>
    <row r="598" spans="1:1" x14ac:dyDescent="0.45">
      <c r="A598" s="1"/>
    </row>
    <row r="599" spans="1:1" x14ac:dyDescent="0.45">
      <c r="A599" s="1"/>
    </row>
    <row r="600" spans="1:1" x14ac:dyDescent="0.45">
      <c r="A600" s="1"/>
    </row>
    <row r="601" spans="1:1" x14ac:dyDescent="0.45">
      <c r="A601" s="1"/>
    </row>
    <row r="602" spans="1:1" x14ac:dyDescent="0.45">
      <c r="A602" s="1"/>
    </row>
    <row r="603" spans="1:1" x14ac:dyDescent="0.45">
      <c r="A603" s="1"/>
    </row>
    <row r="604" spans="1:1" x14ac:dyDescent="0.45">
      <c r="A604" s="1"/>
    </row>
    <row r="605" spans="1:1" x14ac:dyDescent="0.45">
      <c r="A605" s="1"/>
    </row>
    <row r="606" spans="1:1" x14ac:dyDescent="0.45">
      <c r="A606" s="1"/>
    </row>
    <row r="607" spans="1:1" x14ac:dyDescent="0.45">
      <c r="A607" s="1"/>
    </row>
    <row r="608" spans="1:1" x14ac:dyDescent="0.45">
      <c r="A608" s="1"/>
    </row>
    <row r="609" spans="1:1" x14ac:dyDescent="0.45">
      <c r="A609" s="1"/>
    </row>
    <row r="610" spans="1:1" x14ac:dyDescent="0.45">
      <c r="A610" s="1"/>
    </row>
    <row r="611" spans="1:1" x14ac:dyDescent="0.45">
      <c r="A611" s="1"/>
    </row>
    <row r="612" spans="1:1" x14ac:dyDescent="0.45">
      <c r="A612" s="1"/>
    </row>
    <row r="613" spans="1:1" x14ac:dyDescent="0.45">
      <c r="A613" s="1"/>
    </row>
    <row r="614" spans="1:1" x14ac:dyDescent="0.45">
      <c r="A614" s="1"/>
    </row>
    <row r="615" spans="1:1" x14ac:dyDescent="0.45">
      <c r="A615" s="1"/>
    </row>
    <row r="616" spans="1:1" x14ac:dyDescent="0.45">
      <c r="A616" s="1"/>
    </row>
    <row r="617" spans="1:1" x14ac:dyDescent="0.45">
      <c r="A617" s="1"/>
    </row>
    <row r="618" spans="1:1" x14ac:dyDescent="0.45">
      <c r="A618" s="1"/>
    </row>
    <row r="619" spans="1:1" x14ac:dyDescent="0.45">
      <c r="A619" s="1"/>
    </row>
    <row r="620" spans="1:1" x14ac:dyDescent="0.45">
      <c r="A620" s="1"/>
    </row>
    <row r="621" spans="1:1" x14ac:dyDescent="0.45">
      <c r="A621" s="1"/>
    </row>
    <row r="622" spans="1:1" x14ac:dyDescent="0.45">
      <c r="A622" s="1"/>
    </row>
    <row r="623" spans="1:1" x14ac:dyDescent="0.45">
      <c r="A623" s="1"/>
    </row>
    <row r="624" spans="1:1" x14ac:dyDescent="0.45">
      <c r="A624" s="1"/>
    </row>
    <row r="625" spans="1:1" x14ac:dyDescent="0.45">
      <c r="A625" s="1"/>
    </row>
    <row r="626" spans="1:1" x14ac:dyDescent="0.45">
      <c r="A626" s="1"/>
    </row>
    <row r="627" spans="1:1" x14ac:dyDescent="0.45">
      <c r="A627" s="1"/>
    </row>
    <row r="628" spans="1:1" x14ac:dyDescent="0.45">
      <c r="A628" s="1"/>
    </row>
    <row r="629" spans="1:1" x14ac:dyDescent="0.45">
      <c r="A629" s="1"/>
    </row>
    <row r="630" spans="1:1" x14ac:dyDescent="0.45">
      <c r="A630" s="1"/>
    </row>
    <row r="631" spans="1:1" x14ac:dyDescent="0.45">
      <c r="A631" s="1"/>
    </row>
    <row r="632" spans="1:1" x14ac:dyDescent="0.45">
      <c r="A632" s="1"/>
    </row>
    <row r="633" spans="1:1" x14ac:dyDescent="0.45">
      <c r="A633" s="1"/>
    </row>
    <row r="634" spans="1:1" x14ac:dyDescent="0.45">
      <c r="A634" s="1"/>
    </row>
    <row r="635" spans="1:1" x14ac:dyDescent="0.45">
      <c r="A635" s="1"/>
    </row>
    <row r="636" spans="1:1" x14ac:dyDescent="0.45">
      <c r="A636" s="1"/>
    </row>
    <row r="637" spans="1:1" x14ac:dyDescent="0.45">
      <c r="A637" s="1"/>
    </row>
    <row r="638" spans="1:1" x14ac:dyDescent="0.45">
      <c r="A638" s="1"/>
    </row>
    <row r="639" spans="1:1" x14ac:dyDescent="0.45">
      <c r="A639" s="1"/>
    </row>
    <row r="640" spans="1:1" x14ac:dyDescent="0.45">
      <c r="A640" s="1"/>
    </row>
    <row r="641" spans="1:1" x14ac:dyDescent="0.45">
      <c r="A641" s="1"/>
    </row>
    <row r="642" spans="1:1" x14ac:dyDescent="0.45">
      <c r="A642" s="1"/>
    </row>
    <row r="643" spans="1:1" x14ac:dyDescent="0.45">
      <c r="A643" s="1"/>
    </row>
    <row r="644" spans="1:1" x14ac:dyDescent="0.45">
      <c r="A644" s="1"/>
    </row>
    <row r="645" spans="1:1" x14ac:dyDescent="0.45">
      <c r="A645" s="1"/>
    </row>
    <row r="646" spans="1:1" x14ac:dyDescent="0.45">
      <c r="A646" s="1"/>
    </row>
    <row r="647" spans="1:1" x14ac:dyDescent="0.45">
      <c r="A647" s="1"/>
    </row>
    <row r="648" spans="1:1" x14ac:dyDescent="0.45">
      <c r="A648" s="1"/>
    </row>
    <row r="649" spans="1:1" x14ac:dyDescent="0.45">
      <c r="A649" s="1"/>
    </row>
    <row r="650" spans="1:1" x14ac:dyDescent="0.45">
      <c r="A650" s="1"/>
    </row>
    <row r="651" spans="1:1" x14ac:dyDescent="0.45">
      <c r="A651" s="1"/>
    </row>
    <row r="652" spans="1:1" x14ac:dyDescent="0.45">
      <c r="A652" s="1"/>
    </row>
    <row r="653" spans="1:1" x14ac:dyDescent="0.45">
      <c r="A653" s="1"/>
    </row>
    <row r="654" spans="1:1" x14ac:dyDescent="0.45">
      <c r="A654" s="1"/>
    </row>
    <row r="655" spans="1:1" x14ac:dyDescent="0.45">
      <c r="A655" s="1"/>
    </row>
    <row r="656" spans="1:1" x14ac:dyDescent="0.45">
      <c r="A656" s="1"/>
    </row>
    <row r="657" spans="1:1" x14ac:dyDescent="0.45">
      <c r="A657" s="1"/>
    </row>
    <row r="658" spans="1:1" x14ac:dyDescent="0.45">
      <c r="A658" s="1"/>
    </row>
    <row r="659" spans="1:1" x14ac:dyDescent="0.45">
      <c r="A659" s="1"/>
    </row>
    <row r="660" spans="1:1" x14ac:dyDescent="0.45">
      <c r="A660" s="1"/>
    </row>
    <row r="661" spans="1:1" x14ac:dyDescent="0.45">
      <c r="A661" s="1"/>
    </row>
    <row r="662" spans="1:1" x14ac:dyDescent="0.45">
      <c r="A662" s="1"/>
    </row>
    <row r="663" spans="1:1" x14ac:dyDescent="0.45">
      <c r="A663" s="1"/>
    </row>
    <row r="664" spans="1:1" x14ac:dyDescent="0.45">
      <c r="A664" s="1"/>
    </row>
    <row r="665" spans="1:1" x14ac:dyDescent="0.45">
      <c r="A665" s="1"/>
    </row>
    <row r="666" spans="1:1" x14ac:dyDescent="0.45">
      <c r="A666" s="1"/>
    </row>
    <row r="667" spans="1:1" x14ac:dyDescent="0.45">
      <c r="A667" s="1"/>
    </row>
    <row r="668" spans="1:1" x14ac:dyDescent="0.45">
      <c r="A668" s="1"/>
    </row>
    <row r="669" spans="1:1" x14ac:dyDescent="0.45">
      <c r="A669" s="1"/>
    </row>
    <row r="670" spans="1:1" x14ac:dyDescent="0.45">
      <c r="A670" s="1"/>
    </row>
    <row r="671" spans="1:1" x14ac:dyDescent="0.45">
      <c r="A671" s="1"/>
    </row>
    <row r="672" spans="1:1" x14ac:dyDescent="0.45">
      <c r="A672" s="1"/>
    </row>
    <row r="673" spans="1:1" x14ac:dyDescent="0.45">
      <c r="A673" s="1"/>
    </row>
    <row r="674" spans="1:1" x14ac:dyDescent="0.45">
      <c r="A674" s="1"/>
    </row>
    <row r="675" spans="1:1" x14ac:dyDescent="0.45">
      <c r="A675" s="1"/>
    </row>
    <row r="676" spans="1:1" x14ac:dyDescent="0.45">
      <c r="A676" s="1"/>
    </row>
    <row r="677" spans="1:1" x14ac:dyDescent="0.45">
      <c r="A677" s="1"/>
    </row>
    <row r="678" spans="1:1" x14ac:dyDescent="0.45">
      <c r="A678" s="1"/>
    </row>
    <row r="679" spans="1:1" x14ac:dyDescent="0.45">
      <c r="A679" s="1"/>
    </row>
    <row r="680" spans="1:1" x14ac:dyDescent="0.45">
      <c r="A680" s="1"/>
    </row>
    <row r="681" spans="1:1" x14ac:dyDescent="0.45">
      <c r="A681" s="1"/>
    </row>
    <row r="682" spans="1:1" x14ac:dyDescent="0.45">
      <c r="A682" s="1"/>
    </row>
    <row r="683" spans="1:1" x14ac:dyDescent="0.45">
      <c r="A683" s="1"/>
    </row>
    <row r="684" spans="1:1" x14ac:dyDescent="0.45">
      <c r="A684" s="1"/>
    </row>
    <row r="685" spans="1:1" x14ac:dyDescent="0.45">
      <c r="A685" s="1"/>
    </row>
    <row r="686" spans="1:1" x14ac:dyDescent="0.45">
      <c r="A686" s="1"/>
    </row>
    <row r="687" spans="1:1" x14ac:dyDescent="0.45">
      <c r="A687" s="1"/>
    </row>
    <row r="688" spans="1:1" x14ac:dyDescent="0.45">
      <c r="A688" s="1"/>
    </row>
    <row r="689" spans="1:1" x14ac:dyDescent="0.45">
      <c r="A689" s="1"/>
    </row>
    <row r="690" spans="1:1" x14ac:dyDescent="0.45">
      <c r="A690" s="1"/>
    </row>
    <row r="691" spans="1:1" x14ac:dyDescent="0.45">
      <c r="A691" s="1"/>
    </row>
    <row r="692" spans="1:1" x14ac:dyDescent="0.45">
      <c r="A692" s="1"/>
    </row>
    <row r="693" spans="1:1" x14ac:dyDescent="0.45">
      <c r="A693" s="1"/>
    </row>
    <row r="694" spans="1:1" x14ac:dyDescent="0.45">
      <c r="A694" s="1"/>
    </row>
    <row r="695" spans="1:1" x14ac:dyDescent="0.45">
      <c r="A695" s="1"/>
    </row>
    <row r="696" spans="1:1" x14ac:dyDescent="0.45">
      <c r="A696" s="1"/>
    </row>
    <row r="697" spans="1:1" x14ac:dyDescent="0.45">
      <c r="A697" s="1"/>
    </row>
    <row r="698" spans="1:1" x14ac:dyDescent="0.45">
      <c r="A698" s="1"/>
    </row>
    <row r="699" spans="1:1" x14ac:dyDescent="0.45">
      <c r="A699" s="1"/>
    </row>
    <row r="700" spans="1:1" x14ac:dyDescent="0.45">
      <c r="A700" s="1"/>
    </row>
    <row r="701" spans="1:1" x14ac:dyDescent="0.45">
      <c r="A701" s="1"/>
    </row>
    <row r="702" spans="1:1" x14ac:dyDescent="0.45">
      <c r="A702" s="1"/>
    </row>
    <row r="703" spans="1:1" x14ac:dyDescent="0.45">
      <c r="A703" s="1"/>
    </row>
    <row r="704" spans="1:1" x14ac:dyDescent="0.45">
      <c r="A704" s="1"/>
    </row>
    <row r="705" spans="1:1" x14ac:dyDescent="0.45">
      <c r="A705" s="1"/>
    </row>
    <row r="706" spans="1:1" x14ac:dyDescent="0.45">
      <c r="A706" s="1"/>
    </row>
    <row r="707" spans="1:1" x14ac:dyDescent="0.45">
      <c r="A707" s="1"/>
    </row>
    <row r="708" spans="1:1" x14ac:dyDescent="0.45">
      <c r="A708" s="1"/>
    </row>
    <row r="709" spans="1:1" x14ac:dyDescent="0.45">
      <c r="A709" s="1"/>
    </row>
    <row r="710" spans="1:1" x14ac:dyDescent="0.45">
      <c r="A710" s="1"/>
    </row>
    <row r="711" spans="1:1" x14ac:dyDescent="0.45">
      <c r="A711" s="1"/>
    </row>
    <row r="712" spans="1:1" x14ac:dyDescent="0.45">
      <c r="A712" s="1"/>
    </row>
    <row r="713" spans="1:1" x14ac:dyDescent="0.45">
      <c r="A713" s="1"/>
    </row>
    <row r="714" spans="1:1" x14ac:dyDescent="0.45">
      <c r="A714" s="1"/>
    </row>
    <row r="715" spans="1:1" x14ac:dyDescent="0.45">
      <c r="A715" s="1"/>
    </row>
    <row r="716" spans="1:1" x14ac:dyDescent="0.45">
      <c r="A716" s="1"/>
    </row>
    <row r="717" spans="1:1" x14ac:dyDescent="0.45">
      <c r="A717" s="1"/>
    </row>
    <row r="718" spans="1:1" x14ac:dyDescent="0.45">
      <c r="A718" s="1"/>
    </row>
    <row r="719" spans="1:1" x14ac:dyDescent="0.45">
      <c r="A719" s="1"/>
    </row>
    <row r="720" spans="1:1" x14ac:dyDescent="0.45">
      <c r="A720" s="1"/>
    </row>
    <row r="721" spans="1:1" x14ac:dyDescent="0.45">
      <c r="A721" s="1"/>
    </row>
    <row r="722" spans="1:1" x14ac:dyDescent="0.45">
      <c r="A722" s="1"/>
    </row>
    <row r="723" spans="1:1" x14ac:dyDescent="0.45">
      <c r="A723" s="1"/>
    </row>
    <row r="724" spans="1:1" x14ac:dyDescent="0.45">
      <c r="A724" s="1"/>
    </row>
    <row r="725" spans="1:1" x14ac:dyDescent="0.45">
      <c r="A725" s="1"/>
    </row>
    <row r="726" spans="1:1" x14ac:dyDescent="0.45">
      <c r="A726" s="1"/>
    </row>
    <row r="727" spans="1:1" x14ac:dyDescent="0.45">
      <c r="A727" s="1"/>
    </row>
    <row r="728" spans="1:1" x14ac:dyDescent="0.45">
      <c r="A728" s="1"/>
    </row>
    <row r="729" spans="1:1" x14ac:dyDescent="0.45">
      <c r="A729" s="1"/>
    </row>
    <row r="730" spans="1:1" x14ac:dyDescent="0.45">
      <c r="A730" s="1"/>
    </row>
    <row r="731" spans="1:1" x14ac:dyDescent="0.45">
      <c r="A731" s="1"/>
    </row>
    <row r="732" spans="1:1" x14ac:dyDescent="0.45">
      <c r="A732" s="1"/>
    </row>
    <row r="733" spans="1:1" x14ac:dyDescent="0.45">
      <c r="A733" s="1"/>
    </row>
    <row r="734" spans="1:1" x14ac:dyDescent="0.45">
      <c r="A734" s="1"/>
    </row>
    <row r="735" spans="1:1" x14ac:dyDescent="0.45">
      <c r="A735" s="1"/>
    </row>
    <row r="736" spans="1:1" x14ac:dyDescent="0.45">
      <c r="A736" s="1"/>
    </row>
    <row r="737" spans="1:1" x14ac:dyDescent="0.45">
      <c r="A737" s="1"/>
    </row>
    <row r="738" spans="1:1" x14ac:dyDescent="0.45">
      <c r="A738" s="1"/>
    </row>
    <row r="739" spans="1:1" x14ac:dyDescent="0.45">
      <c r="A739" s="1"/>
    </row>
    <row r="740" spans="1:1" x14ac:dyDescent="0.45">
      <c r="A740" s="1"/>
    </row>
    <row r="741" spans="1:1" x14ac:dyDescent="0.45">
      <c r="A741" s="1"/>
    </row>
    <row r="742" spans="1:1" x14ac:dyDescent="0.45">
      <c r="A742" s="1"/>
    </row>
    <row r="743" spans="1:1" x14ac:dyDescent="0.45">
      <c r="A743" s="1"/>
    </row>
    <row r="744" spans="1:1" x14ac:dyDescent="0.45">
      <c r="A744" s="1"/>
    </row>
    <row r="745" spans="1:1" x14ac:dyDescent="0.45">
      <c r="A745" s="1"/>
    </row>
    <row r="746" spans="1:1" x14ac:dyDescent="0.45">
      <c r="A746" s="1"/>
    </row>
    <row r="747" spans="1:1" x14ac:dyDescent="0.45">
      <c r="A747" s="1"/>
    </row>
    <row r="748" spans="1:1" x14ac:dyDescent="0.45">
      <c r="A748" s="1"/>
    </row>
    <row r="749" spans="1:1" x14ac:dyDescent="0.45">
      <c r="A749" s="1"/>
    </row>
    <row r="750" spans="1:1" x14ac:dyDescent="0.45">
      <c r="A750" s="1"/>
    </row>
    <row r="751" spans="1:1" x14ac:dyDescent="0.45">
      <c r="A751" s="1"/>
    </row>
    <row r="752" spans="1:1" x14ac:dyDescent="0.45">
      <c r="A752" s="1"/>
    </row>
    <row r="753" spans="1:1" x14ac:dyDescent="0.45">
      <c r="A753" s="1"/>
    </row>
    <row r="754" spans="1:1" x14ac:dyDescent="0.45">
      <c r="A754" s="1"/>
    </row>
    <row r="755" spans="1:1" x14ac:dyDescent="0.45">
      <c r="A755" s="1"/>
    </row>
    <row r="756" spans="1:1" x14ac:dyDescent="0.45">
      <c r="A756" s="1"/>
    </row>
    <row r="757" spans="1:1" x14ac:dyDescent="0.45">
      <c r="A757" s="1"/>
    </row>
    <row r="758" spans="1:1" x14ac:dyDescent="0.45">
      <c r="A758" s="1"/>
    </row>
    <row r="759" spans="1:1" x14ac:dyDescent="0.45">
      <c r="A759" s="1"/>
    </row>
    <row r="760" spans="1:1" x14ac:dyDescent="0.45">
      <c r="A760" s="1"/>
    </row>
    <row r="761" spans="1:1" x14ac:dyDescent="0.45">
      <c r="A761" s="1"/>
    </row>
    <row r="762" spans="1:1" x14ac:dyDescent="0.45">
      <c r="A762" s="1"/>
    </row>
    <row r="763" spans="1:1" x14ac:dyDescent="0.45">
      <c r="A763" s="1"/>
    </row>
    <row r="764" spans="1:1" x14ac:dyDescent="0.45">
      <c r="A764" s="1"/>
    </row>
    <row r="765" spans="1:1" x14ac:dyDescent="0.45">
      <c r="A765" s="1"/>
    </row>
    <row r="766" spans="1:1" x14ac:dyDescent="0.45">
      <c r="A766" s="1"/>
    </row>
    <row r="767" spans="1:1" x14ac:dyDescent="0.45">
      <c r="A767" s="1"/>
    </row>
    <row r="768" spans="1:1" x14ac:dyDescent="0.45">
      <c r="A768" s="1"/>
    </row>
    <row r="769" spans="1:1" x14ac:dyDescent="0.45">
      <c r="A769" s="1"/>
    </row>
    <row r="770" spans="1:1" x14ac:dyDescent="0.45">
      <c r="A770" s="1"/>
    </row>
    <row r="771" spans="1:1" x14ac:dyDescent="0.45">
      <c r="A771" s="1"/>
    </row>
    <row r="772" spans="1:1" x14ac:dyDescent="0.45">
      <c r="A772" s="1"/>
    </row>
    <row r="773" spans="1:1" x14ac:dyDescent="0.45">
      <c r="A773" s="1"/>
    </row>
    <row r="774" spans="1:1" x14ac:dyDescent="0.45">
      <c r="A774" s="1"/>
    </row>
    <row r="775" spans="1:1" x14ac:dyDescent="0.45">
      <c r="A775" s="1"/>
    </row>
    <row r="776" spans="1:1" x14ac:dyDescent="0.45">
      <c r="A776" s="1"/>
    </row>
    <row r="777" spans="1:1" x14ac:dyDescent="0.45">
      <c r="A777" s="1"/>
    </row>
    <row r="778" spans="1:1" x14ac:dyDescent="0.45">
      <c r="A778" s="1"/>
    </row>
    <row r="779" spans="1:1" x14ac:dyDescent="0.45">
      <c r="A779" s="1"/>
    </row>
    <row r="780" spans="1:1" x14ac:dyDescent="0.45">
      <c r="A780" s="1"/>
    </row>
    <row r="781" spans="1:1" x14ac:dyDescent="0.45">
      <c r="A781" s="1"/>
    </row>
    <row r="782" spans="1:1" x14ac:dyDescent="0.45">
      <c r="A782" s="1"/>
    </row>
    <row r="783" spans="1:1" x14ac:dyDescent="0.45">
      <c r="A783" s="1"/>
    </row>
    <row r="784" spans="1:1" x14ac:dyDescent="0.45">
      <c r="A784" s="1"/>
    </row>
    <row r="785" spans="1:1" x14ac:dyDescent="0.45">
      <c r="A785" s="1"/>
    </row>
    <row r="786" spans="1:1" x14ac:dyDescent="0.45">
      <c r="A786" s="1"/>
    </row>
    <row r="787" spans="1:1" x14ac:dyDescent="0.45">
      <c r="A787" s="1"/>
    </row>
    <row r="788" spans="1:1" x14ac:dyDescent="0.45">
      <c r="A788" s="1"/>
    </row>
    <row r="789" spans="1:1" x14ac:dyDescent="0.45">
      <c r="A789" s="1"/>
    </row>
    <row r="790" spans="1:1" x14ac:dyDescent="0.45">
      <c r="A790" s="1"/>
    </row>
    <row r="791" spans="1:1" x14ac:dyDescent="0.45">
      <c r="A791" s="1"/>
    </row>
    <row r="792" spans="1:1" x14ac:dyDescent="0.45">
      <c r="A792" s="1"/>
    </row>
    <row r="793" spans="1:1" x14ac:dyDescent="0.45">
      <c r="A793" s="1"/>
    </row>
    <row r="794" spans="1:1" x14ac:dyDescent="0.45">
      <c r="A794" s="1"/>
    </row>
    <row r="795" spans="1:1" x14ac:dyDescent="0.45">
      <c r="A795" s="1"/>
    </row>
    <row r="796" spans="1:1" x14ac:dyDescent="0.45">
      <c r="A796" s="1"/>
    </row>
    <row r="797" spans="1:1" x14ac:dyDescent="0.45">
      <c r="A797" s="1"/>
    </row>
    <row r="798" spans="1:1" x14ac:dyDescent="0.45">
      <c r="A798" s="1"/>
    </row>
    <row r="799" spans="1:1" x14ac:dyDescent="0.45">
      <c r="A799" s="1"/>
    </row>
    <row r="800" spans="1:1" x14ac:dyDescent="0.45">
      <c r="A800" s="1"/>
    </row>
    <row r="801" spans="1:1" x14ac:dyDescent="0.45">
      <c r="A801" s="1"/>
    </row>
    <row r="802" spans="1:1" x14ac:dyDescent="0.45">
      <c r="A802" s="1"/>
    </row>
    <row r="803" spans="1:1" x14ac:dyDescent="0.45">
      <c r="A803" s="1"/>
    </row>
    <row r="804" spans="1:1" x14ac:dyDescent="0.45">
      <c r="A804" s="1"/>
    </row>
    <row r="805" spans="1:1" x14ac:dyDescent="0.45">
      <c r="A805" s="1"/>
    </row>
    <row r="806" spans="1:1" x14ac:dyDescent="0.45">
      <c r="A806" s="1"/>
    </row>
    <row r="807" spans="1:1" x14ac:dyDescent="0.45">
      <c r="A807" s="1"/>
    </row>
    <row r="808" spans="1:1" x14ac:dyDescent="0.45">
      <c r="A808" s="1"/>
    </row>
    <row r="809" spans="1:1" x14ac:dyDescent="0.45">
      <c r="A809" s="1"/>
    </row>
    <row r="810" spans="1:1" x14ac:dyDescent="0.45">
      <c r="A810" s="1"/>
    </row>
    <row r="811" spans="1:1" x14ac:dyDescent="0.45">
      <c r="A811" s="1"/>
    </row>
    <row r="812" spans="1:1" x14ac:dyDescent="0.45">
      <c r="A812" s="1"/>
    </row>
    <row r="813" spans="1:1" x14ac:dyDescent="0.45">
      <c r="A813" s="1"/>
    </row>
    <row r="814" spans="1:1" x14ac:dyDescent="0.45">
      <c r="A814" s="1"/>
    </row>
    <row r="815" spans="1:1" x14ac:dyDescent="0.45">
      <c r="A815" s="1"/>
    </row>
    <row r="816" spans="1:1" x14ac:dyDescent="0.45">
      <c r="A816" s="1"/>
    </row>
    <row r="817" spans="1:1" x14ac:dyDescent="0.45">
      <c r="A817" s="1"/>
    </row>
    <row r="818" spans="1:1" x14ac:dyDescent="0.45">
      <c r="A818" s="1"/>
    </row>
    <row r="819" spans="1:1" x14ac:dyDescent="0.45">
      <c r="A819" s="1"/>
    </row>
    <row r="820" spans="1:1" x14ac:dyDescent="0.45">
      <c r="A820" s="1"/>
    </row>
    <row r="821" spans="1:1" x14ac:dyDescent="0.45">
      <c r="A821" s="1"/>
    </row>
    <row r="822" spans="1:1" x14ac:dyDescent="0.45">
      <c r="A822" s="1"/>
    </row>
    <row r="823" spans="1:1" x14ac:dyDescent="0.45">
      <c r="A823" s="1"/>
    </row>
    <row r="824" spans="1:1" x14ac:dyDescent="0.45">
      <c r="A824" s="1"/>
    </row>
    <row r="825" spans="1:1" x14ac:dyDescent="0.45">
      <c r="A825" s="1"/>
    </row>
    <row r="826" spans="1:1" x14ac:dyDescent="0.45">
      <c r="A826" s="1"/>
    </row>
    <row r="827" spans="1:1" x14ac:dyDescent="0.45">
      <c r="A827" s="1"/>
    </row>
    <row r="828" spans="1:1" x14ac:dyDescent="0.45">
      <c r="A828" s="1"/>
    </row>
    <row r="829" spans="1:1" x14ac:dyDescent="0.45">
      <c r="A829" s="1"/>
    </row>
    <row r="830" spans="1:1" x14ac:dyDescent="0.45">
      <c r="A830" s="1"/>
    </row>
    <row r="831" spans="1:1" x14ac:dyDescent="0.45">
      <c r="A831" s="1"/>
    </row>
    <row r="832" spans="1:1" x14ac:dyDescent="0.45">
      <c r="A832" s="1"/>
    </row>
    <row r="833" spans="1:1" x14ac:dyDescent="0.45">
      <c r="A833" s="1"/>
    </row>
    <row r="834" spans="1:1" x14ac:dyDescent="0.45">
      <c r="A834" s="1"/>
    </row>
    <row r="835" spans="1:1" x14ac:dyDescent="0.45">
      <c r="A835" s="1"/>
    </row>
    <row r="836" spans="1:1" x14ac:dyDescent="0.45">
      <c r="A836" s="1"/>
    </row>
    <row r="837" spans="1:1" x14ac:dyDescent="0.45">
      <c r="A837" s="1"/>
    </row>
    <row r="838" spans="1:1" x14ac:dyDescent="0.45">
      <c r="A838" s="1"/>
    </row>
    <row r="839" spans="1:1" x14ac:dyDescent="0.45">
      <c r="A839" s="1"/>
    </row>
    <row r="840" spans="1:1" x14ac:dyDescent="0.45">
      <c r="A840" s="1"/>
    </row>
    <row r="841" spans="1:1" x14ac:dyDescent="0.45">
      <c r="A841" s="1"/>
    </row>
    <row r="842" spans="1:1" x14ac:dyDescent="0.45">
      <c r="A842" s="1"/>
    </row>
    <row r="843" spans="1:1" x14ac:dyDescent="0.45">
      <c r="A843" s="1"/>
    </row>
    <row r="844" spans="1:1" x14ac:dyDescent="0.45">
      <c r="A844" s="1"/>
    </row>
    <row r="845" spans="1:1" x14ac:dyDescent="0.45">
      <c r="A845" s="1"/>
    </row>
    <row r="846" spans="1:1" x14ac:dyDescent="0.45">
      <c r="A846" s="1"/>
    </row>
    <row r="847" spans="1:1" x14ac:dyDescent="0.45">
      <c r="A847" s="1"/>
    </row>
    <row r="848" spans="1:1" x14ac:dyDescent="0.45">
      <c r="A848" s="1"/>
    </row>
    <row r="849" spans="1:1" x14ac:dyDescent="0.45">
      <c r="A849" s="1"/>
    </row>
    <row r="850" spans="1:1" x14ac:dyDescent="0.45">
      <c r="A850" s="1"/>
    </row>
    <row r="851" spans="1:1" x14ac:dyDescent="0.45">
      <c r="A851" s="1"/>
    </row>
    <row r="852" spans="1:1" x14ac:dyDescent="0.45">
      <c r="A852" s="1"/>
    </row>
    <row r="853" spans="1:1" x14ac:dyDescent="0.45">
      <c r="A853" s="1"/>
    </row>
    <row r="854" spans="1:1" x14ac:dyDescent="0.45">
      <c r="A854" s="1"/>
    </row>
    <row r="855" spans="1:1" x14ac:dyDescent="0.45">
      <c r="A855" s="1"/>
    </row>
    <row r="856" spans="1:1" x14ac:dyDescent="0.45">
      <c r="A856" s="1"/>
    </row>
    <row r="857" spans="1:1" x14ac:dyDescent="0.45">
      <c r="A857" s="1"/>
    </row>
    <row r="858" spans="1:1" x14ac:dyDescent="0.45">
      <c r="A858" s="1"/>
    </row>
    <row r="859" spans="1:1" x14ac:dyDescent="0.45">
      <c r="A859" s="1"/>
    </row>
    <row r="860" spans="1:1" x14ac:dyDescent="0.45">
      <c r="A860" s="1"/>
    </row>
    <row r="861" spans="1:1" x14ac:dyDescent="0.45">
      <c r="A861" s="1"/>
    </row>
    <row r="862" spans="1:1" x14ac:dyDescent="0.45">
      <c r="A862" s="1"/>
    </row>
    <row r="863" spans="1:1" x14ac:dyDescent="0.45">
      <c r="A863" s="1"/>
    </row>
    <row r="864" spans="1:1" x14ac:dyDescent="0.45">
      <c r="A864" s="1"/>
    </row>
    <row r="865" spans="1:1" x14ac:dyDescent="0.45">
      <c r="A865" s="1"/>
    </row>
    <row r="866" spans="1:1" x14ac:dyDescent="0.45">
      <c r="A866" s="1"/>
    </row>
    <row r="867" spans="1:1" x14ac:dyDescent="0.45">
      <c r="A867" s="1"/>
    </row>
    <row r="868" spans="1:1" x14ac:dyDescent="0.45">
      <c r="A868" s="1"/>
    </row>
    <row r="869" spans="1:1" x14ac:dyDescent="0.45">
      <c r="A869" s="1"/>
    </row>
    <row r="870" spans="1:1" x14ac:dyDescent="0.45">
      <c r="A870" s="1"/>
    </row>
    <row r="871" spans="1:1" x14ac:dyDescent="0.45">
      <c r="A871" s="1"/>
    </row>
    <row r="872" spans="1:1" x14ac:dyDescent="0.45">
      <c r="A872" s="1"/>
    </row>
    <row r="873" spans="1:1" x14ac:dyDescent="0.45">
      <c r="A873" s="1"/>
    </row>
    <row r="874" spans="1:1" x14ac:dyDescent="0.45">
      <c r="A874" s="1"/>
    </row>
    <row r="875" spans="1:1" x14ac:dyDescent="0.45">
      <c r="A875" s="1"/>
    </row>
    <row r="876" spans="1:1" x14ac:dyDescent="0.45">
      <c r="A876" s="1"/>
    </row>
    <row r="877" spans="1:1" x14ac:dyDescent="0.45">
      <c r="A877" s="1"/>
    </row>
    <row r="878" spans="1:1" x14ac:dyDescent="0.45">
      <c r="A878" s="1"/>
    </row>
    <row r="879" spans="1:1" x14ac:dyDescent="0.45">
      <c r="A879" s="1"/>
    </row>
    <row r="880" spans="1:1" x14ac:dyDescent="0.45">
      <c r="A880" s="1"/>
    </row>
    <row r="881" spans="1:1" x14ac:dyDescent="0.45">
      <c r="A881" s="1"/>
    </row>
    <row r="882" spans="1:1" x14ac:dyDescent="0.45">
      <c r="A882" s="1"/>
    </row>
    <row r="883" spans="1:1" x14ac:dyDescent="0.45">
      <c r="A883" s="1"/>
    </row>
    <row r="884" spans="1:1" x14ac:dyDescent="0.45">
      <c r="A884" s="1"/>
    </row>
    <row r="885" spans="1:1" x14ac:dyDescent="0.45">
      <c r="A885" s="1"/>
    </row>
    <row r="886" spans="1:1" x14ac:dyDescent="0.45">
      <c r="A886" s="1"/>
    </row>
    <row r="887" spans="1:1" x14ac:dyDescent="0.45">
      <c r="A887" s="1"/>
    </row>
    <row r="888" spans="1:1" x14ac:dyDescent="0.45">
      <c r="A888" s="1"/>
    </row>
    <row r="889" spans="1:1" x14ac:dyDescent="0.45">
      <c r="A889" s="1"/>
    </row>
    <row r="890" spans="1:1" x14ac:dyDescent="0.45">
      <c r="A890" s="1"/>
    </row>
    <row r="891" spans="1:1" x14ac:dyDescent="0.45">
      <c r="A891" s="1"/>
    </row>
    <row r="892" spans="1:1" x14ac:dyDescent="0.45">
      <c r="A892" s="1"/>
    </row>
    <row r="893" spans="1:1" x14ac:dyDescent="0.45">
      <c r="A893" s="1"/>
    </row>
    <row r="894" spans="1:1" x14ac:dyDescent="0.45">
      <c r="A894" s="1"/>
    </row>
    <row r="895" spans="1:1" x14ac:dyDescent="0.45">
      <c r="A895" s="1"/>
    </row>
    <row r="896" spans="1:1" x14ac:dyDescent="0.45">
      <c r="A896" s="1"/>
    </row>
    <row r="897" spans="1:1" x14ac:dyDescent="0.45">
      <c r="A897" s="1"/>
    </row>
    <row r="898" spans="1:1" x14ac:dyDescent="0.45">
      <c r="A898" s="1"/>
    </row>
    <row r="899" spans="1:1" x14ac:dyDescent="0.45">
      <c r="A899" s="1"/>
    </row>
    <row r="900" spans="1:1" x14ac:dyDescent="0.45">
      <c r="A900" s="1"/>
    </row>
    <row r="901" spans="1:1" x14ac:dyDescent="0.45">
      <c r="A901" s="1"/>
    </row>
    <row r="902" spans="1:1" x14ac:dyDescent="0.45">
      <c r="A902" s="1"/>
    </row>
    <row r="903" spans="1:1" x14ac:dyDescent="0.45">
      <c r="A903" s="1"/>
    </row>
    <row r="904" spans="1:1" x14ac:dyDescent="0.45">
      <c r="A904" s="1"/>
    </row>
    <row r="905" spans="1:1" x14ac:dyDescent="0.45">
      <c r="A905" s="1"/>
    </row>
    <row r="906" spans="1:1" x14ac:dyDescent="0.45">
      <c r="A906" s="1"/>
    </row>
    <row r="907" spans="1:1" x14ac:dyDescent="0.45">
      <c r="A907" s="1"/>
    </row>
    <row r="908" spans="1:1" x14ac:dyDescent="0.45">
      <c r="A908" s="1"/>
    </row>
    <row r="909" spans="1:1" x14ac:dyDescent="0.45">
      <c r="A909" s="1"/>
    </row>
    <row r="910" spans="1:1" x14ac:dyDescent="0.45">
      <c r="A910" s="1"/>
    </row>
    <row r="911" spans="1:1" x14ac:dyDescent="0.45">
      <c r="A911" s="1"/>
    </row>
    <row r="912" spans="1:1" x14ac:dyDescent="0.45">
      <c r="A912" s="1"/>
    </row>
    <row r="913" spans="1:1" x14ac:dyDescent="0.45">
      <c r="A913" s="1"/>
    </row>
    <row r="914" spans="1:1" x14ac:dyDescent="0.45">
      <c r="A914" s="1"/>
    </row>
    <row r="915" spans="1:1" x14ac:dyDescent="0.45">
      <c r="A915" s="1"/>
    </row>
    <row r="916" spans="1:1" x14ac:dyDescent="0.45">
      <c r="A916" s="1"/>
    </row>
    <row r="917" spans="1:1" x14ac:dyDescent="0.45">
      <c r="A917" s="1"/>
    </row>
    <row r="918" spans="1:1" x14ac:dyDescent="0.45">
      <c r="A918" s="1"/>
    </row>
    <row r="919" spans="1:1" x14ac:dyDescent="0.45">
      <c r="A919" s="1"/>
    </row>
    <row r="920" spans="1:1" x14ac:dyDescent="0.45">
      <c r="A920" s="1"/>
    </row>
    <row r="921" spans="1:1" x14ac:dyDescent="0.45">
      <c r="A921" s="1"/>
    </row>
    <row r="922" spans="1:1" x14ac:dyDescent="0.45">
      <c r="A922" s="1"/>
    </row>
    <row r="923" spans="1:1" x14ac:dyDescent="0.45">
      <c r="A923" s="1"/>
    </row>
    <row r="924" spans="1:1" x14ac:dyDescent="0.45">
      <c r="A924" s="1"/>
    </row>
    <row r="925" spans="1:1" x14ac:dyDescent="0.45">
      <c r="A925" s="1"/>
    </row>
    <row r="926" spans="1:1" x14ac:dyDescent="0.45">
      <c r="A926" s="1"/>
    </row>
    <row r="927" spans="1:1" x14ac:dyDescent="0.45">
      <c r="A927" s="1"/>
    </row>
    <row r="928" spans="1:1" x14ac:dyDescent="0.45">
      <c r="A928" s="1"/>
    </row>
    <row r="929" spans="1:1" x14ac:dyDescent="0.45">
      <c r="A929" s="1"/>
    </row>
    <row r="930" spans="1:1" x14ac:dyDescent="0.45">
      <c r="A930" s="1"/>
    </row>
    <row r="931" spans="1:1" x14ac:dyDescent="0.45">
      <c r="A931" s="1"/>
    </row>
    <row r="932" spans="1:1" x14ac:dyDescent="0.45">
      <c r="A932" s="1"/>
    </row>
    <row r="933" spans="1:1" x14ac:dyDescent="0.45">
      <c r="A933" s="1"/>
    </row>
    <row r="934" spans="1:1" x14ac:dyDescent="0.45">
      <c r="A934" s="1"/>
    </row>
    <row r="935" spans="1:1" x14ac:dyDescent="0.45">
      <c r="A935" s="1"/>
    </row>
    <row r="936" spans="1:1" x14ac:dyDescent="0.45">
      <c r="A936" s="1"/>
    </row>
    <row r="937" spans="1:1" x14ac:dyDescent="0.45">
      <c r="A937" s="1"/>
    </row>
    <row r="938" spans="1:1" x14ac:dyDescent="0.45">
      <c r="A938" s="1"/>
    </row>
    <row r="939" spans="1:1" x14ac:dyDescent="0.45">
      <c r="A939" s="1"/>
    </row>
    <row r="940" spans="1:1" x14ac:dyDescent="0.45">
      <c r="A940" s="1"/>
    </row>
    <row r="941" spans="1:1" x14ac:dyDescent="0.45">
      <c r="A941" s="1"/>
    </row>
    <row r="942" spans="1:1" x14ac:dyDescent="0.45">
      <c r="A942" s="1"/>
    </row>
    <row r="943" spans="1:1" x14ac:dyDescent="0.45">
      <c r="A943" s="1"/>
    </row>
    <row r="944" spans="1:1" x14ac:dyDescent="0.45">
      <c r="A944" s="1"/>
    </row>
    <row r="945" spans="1:1" x14ac:dyDescent="0.45">
      <c r="A945" s="1"/>
    </row>
    <row r="946" spans="1:1" x14ac:dyDescent="0.45">
      <c r="A946" s="1"/>
    </row>
    <row r="947" spans="1:1" x14ac:dyDescent="0.45">
      <c r="A947" s="1"/>
    </row>
    <row r="948" spans="1:1" x14ac:dyDescent="0.45">
      <c r="A948" s="1"/>
    </row>
    <row r="949" spans="1:1" x14ac:dyDescent="0.45">
      <c r="A949" s="1"/>
    </row>
    <row r="950" spans="1:1" x14ac:dyDescent="0.45">
      <c r="A950" s="1"/>
    </row>
    <row r="951" spans="1:1" x14ac:dyDescent="0.45">
      <c r="A951" s="1"/>
    </row>
    <row r="952" spans="1:1" x14ac:dyDescent="0.45">
      <c r="A952" s="1"/>
    </row>
    <row r="953" spans="1:1" x14ac:dyDescent="0.45">
      <c r="A953" s="1"/>
    </row>
    <row r="954" spans="1:1" x14ac:dyDescent="0.45">
      <c r="A954" s="1"/>
    </row>
    <row r="955" spans="1:1" x14ac:dyDescent="0.45">
      <c r="A955" s="1"/>
    </row>
    <row r="956" spans="1:1" x14ac:dyDescent="0.45">
      <c r="A956" s="1"/>
    </row>
    <row r="957" spans="1:1" x14ac:dyDescent="0.45">
      <c r="A957" s="1"/>
    </row>
    <row r="958" spans="1:1" x14ac:dyDescent="0.45">
      <c r="A958" s="1"/>
    </row>
    <row r="959" spans="1:1" x14ac:dyDescent="0.45">
      <c r="A959" s="1"/>
    </row>
    <row r="960" spans="1:1" x14ac:dyDescent="0.45">
      <c r="A960" s="1"/>
    </row>
    <row r="961" spans="1:1" x14ac:dyDescent="0.45">
      <c r="A961" s="1"/>
    </row>
    <row r="962" spans="1:1" x14ac:dyDescent="0.45">
      <c r="A962" s="1"/>
    </row>
    <row r="963" spans="1:1" x14ac:dyDescent="0.45">
      <c r="A963" s="1"/>
    </row>
    <row r="964" spans="1:1" x14ac:dyDescent="0.45">
      <c r="A964" s="1"/>
    </row>
    <row r="965" spans="1:1" x14ac:dyDescent="0.45">
      <c r="A965" s="1"/>
    </row>
    <row r="966" spans="1:1" x14ac:dyDescent="0.45">
      <c r="A966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C3616-536A-440D-88F2-39D4E343A12A}">
  <dimension ref="A1:G24"/>
  <sheetViews>
    <sheetView topLeftCell="A6" zoomScaleNormal="100" zoomScaleSheetLayoutView="100" workbookViewId="0">
      <selection activeCell="B17" sqref="B17"/>
    </sheetView>
  </sheetViews>
  <sheetFormatPr defaultRowHeight="14.25" x14ac:dyDescent="0.45"/>
  <cols>
    <col min="1" max="1" width="10.73046875" bestFit="1" customWidth="1"/>
    <col min="2" max="2" width="9.53125" bestFit="1" customWidth="1"/>
    <col min="3" max="3" width="9.3984375" customWidth="1"/>
    <col min="5" max="5" width="17.59765625" customWidth="1"/>
    <col min="6" max="6" width="12.265625" customWidth="1"/>
    <col min="7" max="7" width="13.46484375" customWidth="1"/>
  </cols>
  <sheetData>
    <row r="1" spans="1:7" x14ac:dyDescent="0.45">
      <c r="A1" s="22" t="s">
        <v>5</v>
      </c>
      <c r="B1" s="22" t="s">
        <v>6</v>
      </c>
      <c r="C1" s="22" t="s">
        <v>7</v>
      </c>
      <c r="D1" s="23" t="s">
        <v>8</v>
      </c>
      <c r="E1" s="22" t="s">
        <v>240</v>
      </c>
      <c r="F1" s="22" t="s">
        <v>241</v>
      </c>
      <c r="G1" s="22" t="s">
        <v>242</v>
      </c>
    </row>
    <row r="2" spans="1:7" x14ac:dyDescent="0.45">
      <c r="A2" s="8">
        <v>46017</v>
      </c>
      <c r="B2" s="24">
        <v>-200</v>
      </c>
      <c r="C2" s="9" t="s">
        <v>30</v>
      </c>
      <c r="D2" s="25"/>
      <c r="E2" s="26">
        <v>200</v>
      </c>
      <c r="F2" s="26">
        <v>0</v>
      </c>
      <c r="G2" s="26">
        <v>200</v>
      </c>
    </row>
    <row r="3" spans="1:7" x14ac:dyDescent="0.45">
      <c r="A3" s="8">
        <v>46017</v>
      </c>
      <c r="B3" s="24">
        <v>30</v>
      </c>
      <c r="C3" s="9" t="s">
        <v>30</v>
      </c>
      <c r="D3" s="25"/>
      <c r="E3" s="26">
        <f ca="1">IF(Table3[[#This Row],[Spender]]="YEONG",OFFSET(Table3[[#This Row],[My Actual Balance]],-1,0)-Table3[[#This Row],[Amount]],OFFSET(Table3[[#This Row],[My Actual Balance]],-1,0))</f>
        <v>170</v>
      </c>
      <c r="F3" s="26">
        <f ca="1">IF(Table3[[#This Row],[Spender]]="MV",OFFSET(Table3[[#This Row],[MV Balance]],-1,0)-Table3[[#This Row],[Amount]],OFFSET(Table3[[#This Row],[MV Balance]],-1,0))</f>
        <v>0</v>
      </c>
      <c r="G3" s="26">
        <f t="shared" ref="G3:G12" ca="1" si="0">SUM(E3:F3)</f>
        <v>170</v>
      </c>
    </row>
    <row r="4" spans="1:7" x14ac:dyDescent="0.45">
      <c r="A4" s="8">
        <v>46018</v>
      </c>
      <c r="B4">
        <v>-300</v>
      </c>
      <c r="C4" s="9" t="s">
        <v>30</v>
      </c>
      <c r="D4" s="3"/>
      <c r="E4" s="27">
        <f ca="1">IF(Table3[[#This Row],[Spender]]="YEONG",OFFSET(Table3[[#This Row],[My Actual Balance]],-1,0)-Table3[[#This Row],[Amount]],OFFSET(Table3[[#This Row],[My Actual Balance]],-1,0))</f>
        <v>470</v>
      </c>
      <c r="F4" s="27">
        <f ca="1">IF(Table3[[#This Row],[Spender]]="MV",OFFSET(Table3[[#This Row],[MV Balance]],-1,0)-Table3[[#This Row],[Amount]],OFFSET(Table3[[#This Row],[MV Balance]],-1,0))</f>
        <v>0</v>
      </c>
      <c r="G4">
        <f t="shared" ca="1" si="0"/>
        <v>470</v>
      </c>
    </row>
    <row r="5" spans="1:7" x14ac:dyDescent="0.45">
      <c r="A5" s="8">
        <v>46018</v>
      </c>
      <c r="B5">
        <v>26.24</v>
      </c>
      <c r="C5" s="9" t="s">
        <v>30</v>
      </c>
      <c r="D5" s="3"/>
      <c r="E5" s="27">
        <f ca="1">IF(Table3[[#This Row],[Spender]]="YEONG",OFFSET(Table3[[#This Row],[My Actual Balance]],-1,0)-Table3[[#This Row],[Amount]],OFFSET(Table3[[#This Row],[My Actual Balance]],-1,0))</f>
        <v>443.76</v>
      </c>
      <c r="F5" s="27">
        <f ca="1">IF(Table3[[#This Row],[Spender]]="MV",OFFSET(Table3[[#This Row],[MV Balance]],-1,0)-Table3[[#This Row],[Amount]],OFFSET(Table3[[#This Row],[MV Balance]],-1,0))</f>
        <v>0</v>
      </c>
      <c r="G5">
        <f t="shared" ca="1" si="0"/>
        <v>443.76</v>
      </c>
    </row>
    <row r="6" spans="1:7" x14ac:dyDescent="0.45">
      <c r="A6" s="8">
        <v>46018</v>
      </c>
      <c r="B6">
        <v>35</v>
      </c>
      <c r="C6" s="9" t="s">
        <v>30</v>
      </c>
      <c r="D6" s="3"/>
      <c r="E6" s="27">
        <f ca="1">IF(Table3[[#This Row],[Spender]]="YEONG",OFFSET(Table3[[#This Row],[My Actual Balance]],-1,0)-Table3[[#This Row],[Amount]],OFFSET(Table3[[#This Row],[My Actual Balance]],-1,0))</f>
        <v>408.76</v>
      </c>
      <c r="F6" s="27">
        <f ca="1">IF(Table3[[#This Row],[Spender]]="MV",OFFSET(Table3[[#This Row],[MV Balance]],-1,0)-Table3[[#This Row],[Amount]],OFFSET(Table3[[#This Row],[MV Balance]],-1,0))</f>
        <v>0</v>
      </c>
      <c r="G6">
        <f t="shared" ca="1" si="0"/>
        <v>408.76</v>
      </c>
    </row>
    <row r="7" spans="1:7" x14ac:dyDescent="0.45">
      <c r="A7" s="8">
        <v>46018</v>
      </c>
      <c r="B7">
        <v>14.04</v>
      </c>
      <c r="C7" s="9" t="s">
        <v>30</v>
      </c>
      <c r="D7" s="3"/>
      <c r="E7" s="27">
        <f ca="1">IF(Table3[[#This Row],[Spender]]="YEONG",OFFSET(Table3[[#This Row],[My Actual Balance]],-1,0)-Table3[[#This Row],[Amount]],OFFSET(Table3[[#This Row],[My Actual Balance]],-1,0))</f>
        <v>394.71999999999997</v>
      </c>
      <c r="F7" s="27">
        <f ca="1">IF(Table3[[#This Row],[Spender]]="MV",OFFSET(Table3[[#This Row],[MV Balance]],-1,0)-Table3[[#This Row],[Amount]],OFFSET(Table3[[#This Row],[MV Balance]],-1,0))</f>
        <v>0</v>
      </c>
      <c r="G7">
        <f t="shared" ca="1" si="0"/>
        <v>394.71999999999997</v>
      </c>
    </row>
    <row r="8" spans="1:7" x14ac:dyDescent="0.45">
      <c r="A8" s="8">
        <v>46018</v>
      </c>
      <c r="B8">
        <v>38.9</v>
      </c>
      <c r="C8" s="9" t="s">
        <v>30</v>
      </c>
      <c r="D8" s="3"/>
      <c r="E8" s="27">
        <f ca="1">IF(Table3[[#This Row],[Spender]]="YEONG",OFFSET(Table3[[#This Row],[My Actual Balance]],-1,0)-Table3[[#This Row],[Amount]],OFFSET(Table3[[#This Row],[My Actual Balance]],-1,0))</f>
        <v>355.82</v>
      </c>
      <c r="F8" s="27">
        <f ca="1">IF(Table3[[#This Row],[Spender]]="MV",OFFSET(Table3[[#This Row],[MV Balance]],-1,0)-Table3[[#This Row],[Amount]],OFFSET(Table3[[#This Row],[MV Balance]],-1,0))</f>
        <v>0</v>
      </c>
      <c r="G8">
        <f t="shared" ca="1" si="0"/>
        <v>355.82</v>
      </c>
    </row>
    <row r="9" spans="1:7" x14ac:dyDescent="0.45">
      <c r="A9" s="8">
        <v>45662</v>
      </c>
      <c r="B9">
        <v>22.2</v>
      </c>
      <c r="C9" s="9" t="s">
        <v>30</v>
      </c>
      <c r="D9" s="3"/>
      <c r="E9" s="27">
        <f ca="1">IF(Table3[[#This Row],[Spender]]="YEONG",OFFSET(Table3[[#This Row],[My Actual Balance]],-1,0)-Table3[[#This Row],[Amount]],OFFSET(Table3[[#This Row],[My Actual Balance]],-1,0))</f>
        <v>333.62</v>
      </c>
      <c r="F9" s="27">
        <f ca="1">IF(Table3[[#This Row],[Spender]]="MV",OFFSET(Table3[[#This Row],[MV Balance]],-1,0)-Table3[[#This Row],[Amount]],OFFSET(Table3[[#This Row],[MV Balance]],-1,0))</f>
        <v>0</v>
      </c>
      <c r="G9">
        <f t="shared" ca="1" si="0"/>
        <v>333.62</v>
      </c>
    </row>
    <row r="10" spans="1:7" x14ac:dyDescent="0.45">
      <c r="A10" s="1">
        <v>46029</v>
      </c>
      <c r="B10">
        <v>46.87</v>
      </c>
      <c r="C10" s="9" t="s">
        <v>30</v>
      </c>
      <c r="D10" s="3"/>
      <c r="E10" s="27">
        <f ca="1">IF(Table3[[#This Row],[Spender]]="YEONG",OFFSET(Table3[[#This Row],[My Actual Balance]],-1,0)-Table3[[#This Row],[Amount]],OFFSET(Table3[[#This Row],[My Actual Balance]],-1,0))</f>
        <v>286.75</v>
      </c>
      <c r="F10" s="27">
        <f ca="1">IF(Table3[[#This Row],[Spender]]="MV",OFFSET(Table3[[#This Row],[MV Balance]],-1,0)-Table3[[#This Row],[Amount]],OFFSET(Table3[[#This Row],[MV Balance]],-1,0))</f>
        <v>0</v>
      </c>
      <c r="G10">
        <f t="shared" ca="1" si="0"/>
        <v>286.75</v>
      </c>
    </row>
    <row r="11" spans="1:7" x14ac:dyDescent="0.45">
      <c r="A11" s="1">
        <v>46029</v>
      </c>
      <c r="B11">
        <v>25.8</v>
      </c>
      <c r="C11" s="9" t="s">
        <v>30</v>
      </c>
      <c r="D11" s="3"/>
      <c r="E11" s="27">
        <f ca="1">IF(Table3[[#This Row],[Spender]]="YEONG",OFFSET(Table3[[#This Row],[My Actual Balance]],-1,0)-Table3[[#This Row],[Amount]],OFFSET(Table3[[#This Row],[My Actual Balance]],-1,0))</f>
        <v>260.95</v>
      </c>
      <c r="F11" s="27">
        <f ca="1">IF(Table3[[#This Row],[Spender]]="MV",OFFSET(Table3[[#This Row],[MV Balance]],-1,0)-Table3[[#This Row],[Amount]],OFFSET(Table3[[#This Row],[MV Balance]],-1,0))</f>
        <v>0</v>
      </c>
      <c r="G11">
        <f t="shared" ca="1" si="0"/>
        <v>260.95</v>
      </c>
    </row>
    <row r="12" spans="1:7" x14ac:dyDescent="0.45">
      <c r="A12" s="1">
        <v>46029</v>
      </c>
      <c r="B12">
        <v>27.7</v>
      </c>
      <c r="C12" s="9" t="s">
        <v>30</v>
      </c>
      <c r="D12" s="3"/>
      <c r="E12" s="27">
        <f ca="1">IF(Table3[[#This Row],[Spender]]="YEONG",OFFSET(Table3[[#This Row],[My Actual Balance]],-1,0)-Table3[[#This Row],[Amount]],OFFSET(Table3[[#This Row],[My Actual Balance]],-1,0))</f>
        <v>233.25</v>
      </c>
      <c r="F12" s="27">
        <f ca="1">IF(Table3[[#This Row],[Spender]]="MV",OFFSET(Table3[[#This Row],[MV Balance]],-1,0)-Table3[[#This Row],[Amount]],OFFSET(Table3[[#This Row],[MV Balance]],-1,0))</f>
        <v>0</v>
      </c>
      <c r="G12">
        <f t="shared" ca="1" si="0"/>
        <v>233.25</v>
      </c>
    </row>
    <row r="13" spans="1:7" x14ac:dyDescent="0.45">
      <c r="A13" s="1">
        <v>46034</v>
      </c>
      <c r="B13">
        <v>-10000</v>
      </c>
      <c r="C13" t="s">
        <v>11</v>
      </c>
      <c r="D13" s="3" t="s">
        <v>211</v>
      </c>
      <c r="E13" s="27">
        <f ca="1">IF(Table3[[#This Row],[Spender]]="YEONG",OFFSET(Table3[[#This Row],[My Actual Balance]],-1,0)-Table3[[#This Row],[Amount]],OFFSET(Table3[[#This Row],[My Actual Balance]],-1,0))</f>
        <v>233.25</v>
      </c>
      <c r="F13" s="27">
        <f ca="1">IF(Table3[[#This Row],[Spender]]="MV",OFFSET(Table3[[#This Row],[MV Balance]],-1,0)-Table3[[#This Row],[Amount]],OFFSET(Table3[[#This Row],[MV Balance]],-1,0))</f>
        <v>10000</v>
      </c>
      <c r="G13">
        <f t="shared" ref="G13:G22" ca="1" si="1">SUM(E13:F13)</f>
        <v>10233.25</v>
      </c>
    </row>
    <row r="14" spans="1:7" x14ac:dyDescent="0.45">
      <c r="A14" s="1">
        <v>46037</v>
      </c>
      <c r="B14">
        <v>772.5</v>
      </c>
      <c r="C14" t="s">
        <v>11</v>
      </c>
      <c r="D14" s="3" t="s">
        <v>294</v>
      </c>
      <c r="E14" s="27">
        <f ca="1">IF(Table3[[#This Row],[Spender]]="YEONG",OFFSET(Table3[[#This Row],[My Actual Balance]],-1,0)-Table3[[#This Row],[Amount]],OFFSET(Table3[[#This Row],[My Actual Balance]],-1,0))</f>
        <v>233.25</v>
      </c>
      <c r="F14" s="27">
        <f ca="1">IF(Table3[[#This Row],[Spender]]="MV",OFFSET(Table3[[#This Row],[MV Balance]],-1,0)-Table3[[#This Row],[Amount]],OFFSET(Table3[[#This Row],[MV Balance]],-1,0))</f>
        <v>9227.5</v>
      </c>
      <c r="G14">
        <f t="shared" ca="1" si="1"/>
        <v>9460.75</v>
      </c>
    </row>
    <row r="15" spans="1:7" x14ac:dyDescent="0.45">
      <c r="A15" s="1">
        <v>46038</v>
      </c>
      <c r="B15">
        <v>4820</v>
      </c>
      <c r="C15" t="s">
        <v>11</v>
      </c>
      <c r="D15" s="3" t="s">
        <v>293</v>
      </c>
      <c r="E15" s="27">
        <f ca="1">IF(Table3[[#This Row],[Spender]]="YEONG",OFFSET(Table3[[#This Row],[My Actual Balance]],-1,0)-Table3[[#This Row],[Amount]],OFFSET(Table3[[#This Row],[My Actual Balance]],-1,0))</f>
        <v>233.25</v>
      </c>
      <c r="F15" s="27">
        <f ca="1">IF(Table3[[#This Row],[Spender]]="MV",OFFSET(Table3[[#This Row],[MV Balance]],-1,0)-Table3[[#This Row],[Amount]],OFFSET(Table3[[#This Row],[MV Balance]],-1,0))</f>
        <v>4407.5</v>
      </c>
      <c r="G15">
        <f t="shared" ca="1" si="1"/>
        <v>4640.75</v>
      </c>
    </row>
    <row r="16" spans="1:7" x14ac:dyDescent="0.45">
      <c r="A16" s="1">
        <v>46041</v>
      </c>
      <c r="B16">
        <v>997</v>
      </c>
      <c r="C16" t="s">
        <v>11</v>
      </c>
      <c r="D16" s="3" t="s">
        <v>298</v>
      </c>
      <c r="E16" s="27">
        <f ca="1">IF(Table3[[#This Row],[Spender]]="YEONG",OFFSET(Table3[[#This Row],[My Actual Balance]],-1,0)-Table3[[#This Row],[Amount]],OFFSET(Table3[[#This Row],[My Actual Balance]],-1,0))</f>
        <v>233.25</v>
      </c>
      <c r="F16" s="27">
        <f ca="1">IF(Table3[[#This Row],[Spender]]="MV",OFFSET(Table3[[#This Row],[MV Balance]],-1,0)-Table3[[#This Row],[Amount]],OFFSET(Table3[[#This Row],[MV Balance]],-1,0))</f>
        <v>3410.5</v>
      </c>
      <c r="G16">
        <f t="shared" ca="1" si="1"/>
        <v>3643.75</v>
      </c>
    </row>
    <row r="17" spans="1:7" x14ac:dyDescent="0.45">
      <c r="A17" s="1">
        <v>46046</v>
      </c>
      <c r="B17">
        <v>1775</v>
      </c>
      <c r="C17" t="s">
        <v>11</v>
      </c>
      <c r="D17" s="3" t="s">
        <v>303</v>
      </c>
      <c r="E17" s="27">
        <f ca="1">IF(Table3[[#This Row],[Spender]]="YEONG",OFFSET(Table3[[#This Row],[My Actual Balance]],-1,0)-Table3[[#This Row],[Amount]],OFFSET(Table3[[#This Row],[My Actual Balance]],-1,0))</f>
        <v>233.25</v>
      </c>
      <c r="F17" s="27">
        <f ca="1">IF(Table3[[#This Row],[Spender]]="MV",OFFSET(Table3[[#This Row],[MV Balance]],-1,0)-Table3[[#This Row],[Amount]],OFFSET(Table3[[#This Row],[MV Balance]],-1,0))</f>
        <v>1635.5</v>
      </c>
      <c r="G17">
        <f t="shared" ca="1" si="1"/>
        <v>1868.75</v>
      </c>
    </row>
    <row r="18" spans="1:7" x14ac:dyDescent="0.45">
      <c r="A18" s="1">
        <v>46050</v>
      </c>
      <c r="B18">
        <v>-10000</v>
      </c>
      <c r="C18" t="s">
        <v>11</v>
      </c>
      <c r="D18" s="3" t="s">
        <v>211</v>
      </c>
      <c r="E18" s="27">
        <f ca="1">IF(Table3[[#This Row],[Spender]]="YEONG",OFFSET(Table3[[#This Row],[My Actual Balance]],-1,0)-Table3[[#This Row],[Amount]],OFFSET(Table3[[#This Row],[My Actual Balance]],-1,0))</f>
        <v>233.25</v>
      </c>
      <c r="F18" s="27">
        <f ca="1">IF(Table3[[#This Row],[Spender]]="MV",OFFSET(Table3[[#This Row],[MV Balance]],-1,0)-Table3[[#This Row],[Amount]],OFFSET(Table3[[#This Row],[MV Balance]],-1,0))</f>
        <v>11635.5</v>
      </c>
      <c r="G18">
        <f t="shared" ca="1" si="1"/>
        <v>11868.75</v>
      </c>
    </row>
    <row r="19" spans="1:7" x14ac:dyDescent="0.45">
      <c r="A19" s="1">
        <v>46051</v>
      </c>
      <c r="B19">
        <v>4480</v>
      </c>
      <c r="C19" t="s">
        <v>11</v>
      </c>
      <c r="D19" s="3" t="s">
        <v>306</v>
      </c>
      <c r="E19" s="27">
        <f ca="1">IF(Table3[[#This Row],[Spender]]="YEONG",OFFSET(Table3[[#This Row],[My Actual Balance]],-1,0)-Table3[[#This Row],[Amount]],OFFSET(Table3[[#This Row],[My Actual Balance]],-1,0))</f>
        <v>233.25</v>
      </c>
      <c r="F19" s="27">
        <f ca="1">IF(Table3[[#This Row],[Spender]]="MV",OFFSET(Table3[[#This Row],[MV Balance]],-1,0)-Table3[[#This Row],[Amount]],OFFSET(Table3[[#This Row],[MV Balance]],-1,0))</f>
        <v>7155.5</v>
      </c>
      <c r="G19">
        <f t="shared" ca="1" si="1"/>
        <v>7388.75</v>
      </c>
    </row>
    <row r="20" spans="1:7" x14ac:dyDescent="0.45">
      <c r="A20" s="1">
        <v>46053</v>
      </c>
      <c r="B20">
        <v>985</v>
      </c>
      <c r="C20" t="s">
        <v>11</v>
      </c>
      <c r="D20" s="3" t="s">
        <v>308</v>
      </c>
      <c r="E20" s="27">
        <f ca="1">IF(Table3[[#This Row],[Spender]]="YEONG",OFFSET(Table3[[#This Row],[My Actual Balance]],-1,0)-Table3[[#This Row],[Amount]],OFFSET(Table3[[#This Row],[My Actual Balance]],-1,0))</f>
        <v>233.25</v>
      </c>
      <c r="F20" s="27">
        <f ca="1">IF(Table3[[#This Row],[Spender]]="MV",OFFSET(Table3[[#This Row],[MV Balance]],-1,0)-Table3[[#This Row],[Amount]],OFFSET(Table3[[#This Row],[MV Balance]],-1,0))</f>
        <v>6170.5</v>
      </c>
      <c r="G20">
        <f t="shared" ca="1" si="1"/>
        <v>6403.75</v>
      </c>
    </row>
    <row r="21" spans="1:7" x14ac:dyDescent="0.45">
      <c r="A21" s="1">
        <v>46053</v>
      </c>
      <c r="B21">
        <v>20</v>
      </c>
      <c r="C21" t="s">
        <v>11</v>
      </c>
      <c r="D21" s="3" t="s">
        <v>309</v>
      </c>
      <c r="E21" s="27">
        <f ca="1">IF(Table3[[#This Row],[Spender]]="YEONG",OFFSET(Table3[[#This Row],[My Actual Balance]],-1,0)-Table3[[#This Row],[Amount]],OFFSET(Table3[[#This Row],[My Actual Balance]],-1,0))</f>
        <v>233.25</v>
      </c>
      <c r="F21" s="27">
        <f ca="1">IF(Table3[[#This Row],[Spender]]="MV",OFFSET(Table3[[#This Row],[MV Balance]],-1,0)-Table3[[#This Row],[Amount]],OFFSET(Table3[[#This Row],[MV Balance]],-1,0))</f>
        <v>6150.5</v>
      </c>
      <c r="G21">
        <f t="shared" ca="1" si="1"/>
        <v>6383.75</v>
      </c>
    </row>
    <row r="22" spans="1:7" x14ac:dyDescent="0.45">
      <c r="A22" s="1">
        <v>46053</v>
      </c>
      <c r="B22">
        <v>13.5</v>
      </c>
      <c r="C22" s="9" t="s">
        <v>30</v>
      </c>
      <c r="D22" s="3" t="s">
        <v>68</v>
      </c>
      <c r="E22" s="27">
        <f ca="1">IF(Table3[[#This Row],[Spender]]="YEONG",OFFSET(Table3[[#This Row],[My Actual Balance]],-1,0)-Table3[[#This Row],[Amount]],OFFSET(Table3[[#This Row],[My Actual Balance]],-1,0))</f>
        <v>219.75</v>
      </c>
      <c r="F22" s="27">
        <f ca="1">IF(Table3[[#This Row],[Spender]]="MV",OFFSET(Table3[[#This Row],[MV Balance]],-1,0)-Table3[[#This Row],[Amount]],OFFSET(Table3[[#This Row],[MV Balance]],-1,0))</f>
        <v>6150.5</v>
      </c>
      <c r="G22">
        <f t="shared" ca="1" si="1"/>
        <v>6370.25</v>
      </c>
    </row>
    <row r="23" spans="1:7" x14ac:dyDescent="0.45">
      <c r="A23" s="1">
        <v>46079</v>
      </c>
      <c r="B23">
        <v>4800</v>
      </c>
      <c r="C23" t="s">
        <v>11</v>
      </c>
      <c r="D23" s="3" t="s">
        <v>310</v>
      </c>
      <c r="E23" s="27">
        <f ca="1">IF(Table3[[#This Row],[Spender]]="YEONG",OFFSET(Table3[[#This Row],[My Actual Balance]],-1,0)-Table3[[#This Row],[Amount]],OFFSET(Table3[[#This Row],[My Actual Balance]],-1,0))</f>
        <v>219.75</v>
      </c>
      <c r="F23" s="27">
        <f ca="1">IF(Table3[[#This Row],[Spender]]="MV",OFFSET(Table3[[#This Row],[MV Balance]],-1,0)-Table3[[#This Row],[Amount]],OFFSET(Table3[[#This Row],[MV Balance]],-1,0))</f>
        <v>1350.5</v>
      </c>
      <c r="G23">
        <f ca="1">SUM(E23:F23)</f>
        <v>1570.25</v>
      </c>
    </row>
    <row r="24" spans="1:7" x14ac:dyDescent="0.45">
      <c r="A24" s="1">
        <v>46081</v>
      </c>
      <c r="B24">
        <v>815.5</v>
      </c>
      <c r="C24" t="s">
        <v>11</v>
      </c>
      <c r="D24" s="3" t="s">
        <v>311</v>
      </c>
      <c r="E24" s="27">
        <f ca="1">IF(Table3[[#This Row],[Spender]]="YEONG",OFFSET(Table3[[#This Row],[My Actual Balance]],-1,0)-Table3[[#This Row],[Amount]],OFFSET(Table3[[#This Row],[My Actual Balance]],-1,0))</f>
        <v>219.75</v>
      </c>
      <c r="F24" s="27">
        <f ca="1">IF(Table3[[#This Row],[Spender]]="MV",OFFSET(Table3[[#This Row],[MV Balance]],-1,0)-Table3[[#This Row],[Amount]],OFFSET(Table3[[#This Row],[MV Balance]],-1,0))</f>
        <v>535</v>
      </c>
      <c r="G24">
        <f ca="1">SUM(E24:F24)</f>
        <v>754.75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SONG REN YEONG</cp:lastModifiedBy>
  <cp:revision/>
  <dcterms:created xsi:type="dcterms:W3CDTF">2025-06-08T15:56:45Z</dcterms:created>
  <dcterms:modified xsi:type="dcterms:W3CDTF">2026-02-28T13:07:16Z</dcterms:modified>
  <cp:category/>
  <cp:contentStatus/>
</cp:coreProperties>
</file>